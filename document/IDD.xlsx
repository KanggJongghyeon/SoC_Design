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V:\SoC_Design\document\"/>
    </mc:Choice>
  </mc:AlternateContent>
  <xr:revisionPtr revIDLastSave="0" documentId="13_ncr:1_{1559E386-A115-4D21-BDF5-69990F8F99F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CPU" sheetId="1" r:id="rId1"/>
  </sheets>
  <definedNames>
    <definedName name="_xlnm._FilterDatabase" localSheetId="0" hidden="1">CPU!$C$20:$G$141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 l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l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l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l="1"/>
  <c r="B140" i="1" s="1"/>
  <c r="B141" i="1" s="1"/>
  <c r="B142" i="1" s="1"/>
</calcChain>
</file>

<file path=xl/sharedStrings.xml><?xml version="1.0" encoding="utf-8"?>
<sst xmlns="http://schemas.openxmlformats.org/spreadsheetml/2006/main" count="636" uniqueCount="386">
  <si>
    <t>Signal</t>
    <phoneticPr fontId="1" type="noConversion"/>
  </si>
  <si>
    <t>Source</t>
    <phoneticPr fontId="1" type="noConversion"/>
  </si>
  <si>
    <t>Destination</t>
    <phoneticPr fontId="1" type="noConversion"/>
  </si>
  <si>
    <t>Bit</t>
    <phoneticPr fontId="1" type="noConversion"/>
  </si>
  <si>
    <t>clk</t>
    <phoneticPr fontId="1" type="noConversion"/>
  </si>
  <si>
    <t>rst_n</t>
    <phoneticPr fontId="1" type="noConversion"/>
  </si>
  <si>
    <t>TB</t>
    <phoneticPr fontId="1" type="noConversion"/>
  </si>
  <si>
    <t>Description</t>
    <phoneticPr fontId="1" type="noConversion"/>
  </si>
  <si>
    <t>Global</t>
    <phoneticPr fontId="1" type="noConversion"/>
  </si>
  <si>
    <t>i_i_mem_data</t>
    <phoneticPr fontId="1" type="noConversion"/>
  </si>
  <si>
    <t>o_i_mem_en</t>
    <phoneticPr fontId="1" type="noConversion"/>
  </si>
  <si>
    <t>o_i_mem_addr</t>
    <phoneticPr fontId="1" type="noConversion"/>
  </si>
  <si>
    <t>i_d_mem_data</t>
    <phoneticPr fontId="1" type="noConversion"/>
  </si>
  <si>
    <t>o_d_mem_en</t>
    <phoneticPr fontId="1" type="noConversion"/>
  </si>
  <si>
    <t>o_d_mem_wren</t>
    <phoneticPr fontId="1" type="noConversion"/>
  </si>
  <si>
    <t>o_d_mem_addr</t>
    <phoneticPr fontId="1" type="noConversion"/>
  </si>
  <si>
    <t>o_d_mem_data</t>
    <phoneticPr fontId="1" type="noConversion"/>
  </si>
  <si>
    <t>o_arbiter_req</t>
    <phoneticPr fontId="1" type="noConversion"/>
  </si>
  <si>
    <t>i_arbiter_gnt</t>
    <phoneticPr fontId="1" type="noConversion"/>
  </si>
  <si>
    <t>DATA_BIT</t>
    <phoneticPr fontId="1" type="noConversion"/>
  </si>
  <si>
    <t>ADDR_BIT</t>
    <phoneticPr fontId="1" type="noConversion"/>
  </si>
  <si>
    <t>I_MEM</t>
    <phoneticPr fontId="1" type="noConversion"/>
  </si>
  <si>
    <t>CPU</t>
    <phoneticPr fontId="1" type="noConversion"/>
  </si>
  <si>
    <t>D-MEM</t>
    <phoneticPr fontId="1" type="noConversion"/>
  </si>
  <si>
    <t>ARBITER</t>
    <phoneticPr fontId="1" type="noConversion"/>
  </si>
  <si>
    <t>from I-MEM</t>
    <phoneticPr fontId="1" type="noConversion"/>
  </si>
  <si>
    <t>to I-MEM</t>
    <phoneticPr fontId="1" type="noConversion"/>
  </si>
  <si>
    <t>from D-MEM</t>
    <phoneticPr fontId="1" type="noConversion"/>
  </si>
  <si>
    <t>to D-MEM</t>
    <phoneticPr fontId="1" type="noConversion"/>
  </si>
  <si>
    <t>to Arbiter</t>
    <phoneticPr fontId="1" type="noConversion"/>
  </si>
  <si>
    <t>from Arbiter</t>
    <phoneticPr fontId="1" type="noConversion"/>
  </si>
  <si>
    <t>wire</t>
    <phoneticPr fontId="1" type="noConversion"/>
  </si>
  <si>
    <t>SRC</t>
    <phoneticPr fontId="1" type="noConversion"/>
  </si>
  <si>
    <t>DST</t>
    <phoneticPr fontId="1" type="noConversion"/>
  </si>
  <si>
    <t>u_pc</t>
    <phoneticPr fontId="1" type="noConversion"/>
  </si>
  <si>
    <t>u_jump_mux</t>
    <phoneticPr fontId="1" type="noConversion"/>
  </si>
  <si>
    <t>I-MEM ADDR</t>
    <phoneticPr fontId="1" type="noConversion"/>
  </si>
  <si>
    <t>I-MEM Enable</t>
    <phoneticPr fontId="1" type="noConversion"/>
  </si>
  <si>
    <t>u_addr_4_adder</t>
    <phoneticPr fontId="1" type="noConversion"/>
  </si>
  <si>
    <t>u_branch_addr_adder</t>
    <phoneticPr fontId="1" type="noConversion"/>
  </si>
  <si>
    <t>No</t>
    <phoneticPr fontId="1" type="noConversion"/>
  </si>
  <si>
    <t>u_shift_left_jump</t>
    <phoneticPr fontId="1" type="noConversion"/>
  </si>
  <si>
    <t>u_sign_extend</t>
    <phoneticPr fontId="1" type="noConversion"/>
  </si>
  <si>
    <t>u_inst_decoder</t>
    <phoneticPr fontId="1" type="noConversion"/>
  </si>
  <si>
    <t>DATA_BIT - OPCODE_BIT</t>
    <phoneticPr fontId="1" type="noConversion"/>
  </si>
  <si>
    <t>DATA_BIT - OPCODE_BIT + 2</t>
    <phoneticPr fontId="1" type="noConversion"/>
  </si>
  <si>
    <t>u_shift_left_branch</t>
    <phoneticPr fontId="1" type="noConversion"/>
  </si>
  <si>
    <t>u_shift_left_branch
u_alusrc_mux</t>
    <phoneticPr fontId="1" type="noConversion"/>
  </si>
  <si>
    <t>DATA_BIT + 2</t>
    <phoneticPr fontId="1" type="noConversion"/>
  </si>
  <si>
    <t>Decoded Jump ADDR</t>
    <phoneticPr fontId="1" type="noConversion"/>
  </si>
  <si>
    <t>Decoded Jump ADDR &gt;&gt; 2</t>
    <phoneticPr fontId="1" type="noConversion"/>
  </si>
  <si>
    <t>Standard Bit of Branch ADDR</t>
    <phoneticPr fontId="1" type="noConversion"/>
  </si>
  <si>
    <t>u_branch_mux</t>
    <phoneticPr fontId="1" type="noConversion"/>
  </si>
  <si>
    <t>Sign-Extend Constant &gt;&gt; 2 (Bit Extend)</t>
    <phoneticPr fontId="1" type="noConversion"/>
  </si>
  <si>
    <t>OPCODE_BIT</t>
    <phoneticPr fontId="1" type="noConversion"/>
  </si>
  <si>
    <t>REG_BIT</t>
    <phoneticPr fontId="1" type="noConversion"/>
  </si>
  <si>
    <t>(DATA_BIT)/2</t>
    <phoneticPr fontId="1" type="noConversion"/>
  </si>
  <si>
    <t>u_control_unit</t>
    <phoneticPr fontId="1" type="noConversion"/>
  </si>
  <si>
    <t>Decoded OPCODE</t>
    <phoneticPr fontId="1" type="noConversion"/>
  </si>
  <si>
    <t>Decoded Shamt</t>
    <phoneticPr fontId="1" type="noConversion"/>
  </si>
  <si>
    <t>Decoded Constant</t>
    <phoneticPr fontId="1" type="noConversion"/>
  </si>
  <si>
    <t>u_registers</t>
    <phoneticPr fontId="1" type="noConversion"/>
  </si>
  <si>
    <t>u_regdst_mux</t>
    <phoneticPr fontId="1" type="noConversion"/>
  </si>
  <si>
    <t>-</t>
    <phoneticPr fontId="1" type="noConversion"/>
  </si>
  <si>
    <t>u_alu
u_mul_div_unit</t>
    <phoneticPr fontId="1" type="noConversion"/>
  </si>
  <si>
    <t>ALUOpB</t>
    <phoneticPr fontId="1" type="noConversion"/>
  </si>
  <si>
    <t>u_alu</t>
    <phoneticPr fontId="1" type="noConversion"/>
  </si>
  <si>
    <t>u_alusrc_mux</t>
    <phoneticPr fontId="1" type="noConversion"/>
  </si>
  <si>
    <t>u_memtoreg_mux</t>
    <phoneticPr fontId="1" type="noConversion"/>
  </si>
  <si>
    <t>Registers RDATA2 or Sign-Extend Constant</t>
    <phoneticPr fontId="1" type="noConversion"/>
  </si>
  <si>
    <t>ALU Carry Out</t>
    <phoneticPr fontId="1" type="noConversion"/>
  </si>
  <si>
    <t>ALU Zero Out</t>
    <phoneticPr fontId="1" type="noConversion"/>
  </si>
  <si>
    <t>u_mul_div_unit</t>
    <phoneticPr fontId="1" type="noConversion"/>
  </si>
  <si>
    <t>HIGH Register in MUL/DIV Unit</t>
    <phoneticPr fontId="1" type="noConversion"/>
  </si>
  <si>
    <t>LOW Register in MUL/DIV Unit</t>
    <phoneticPr fontId="1" type="noConversion"/>
  </si>
  <si>
    <t>PC ADDR + 4 or Branch ADDR</t>
    <phoneticPr fontId="1" type="noConversion"/>
  </si>
  <si>
    <t>w_if_add4_addr</t>
    <phoneticPr fontId="1" type="noConversion"/>
  </si>
  <si>
    <t>PC ADDR + 4 (IF)</t>
    <phoneticPr fontId="1" type="noConversion"/>
  </si>
  <si>
    <t>PC ADDR + 4 (EX)</t>
    <phoneticPr fontId="1" type="noConversion"/>
  </si>
  <si>
    <t>w_id_aluop</t>
    <phoneticPr fontId="1" type="noConversion"/>
  </si>
  <si>
    <t>w_id_ctr_alusrc</t>
    <phoneticPr fontId="1" type="noConversion"/>
  </si>
  <si>
    <t>w_id_memtoreg</t>
    <phoneticPr fontId="1" type="noConversion"/>
  </si>
  <si>
    <t>w_id_regwrite</t>
    <phoneticPr fontId="1" type="noConversion"/>
  </si>
  <si>
    <t>w_id_memread</t>
    <phoneticPr fontId="1" type="noConversion"/>
  </si>
  <si>
    <t>w_id_memwrite</t>
    <phoneticPr fontId="1" type="noConversion"/>
  </si>
  <si>
    <t>w_id_branch</t>
    <phoneticPr fontId="1" type="noConversion"/>
  </si>
  <si>
    <t>w_id_sign_extend</t>
    <phoneticPr fontId="1" type="noConversion"/>
  </si>
  <si>
    <t>w_id_reg_rdata1</t>
    <phoneticPr fontId="1" type="noConversion"/>
  </si>
  <si>
    <t>w_id_reg_rdata2</t>
    <phoneticPr fontId="1" type="noConversion"/>
  </si>
  <si>
    <t>Registers RDATA1 (ID)</t>
    <phoneticPr fontId="1" type="noConversion"/>
  </si>
  <si>
    <t>Registers RDATA2 (ID)</t>
    <phoneticPr fontId="1" type="noConversion"/>
  </si>
  <si>
    <t>ALUOpA (ID)</t>
    <phoneticPr fontId="1" type="noConversion"/>
  </si>
  <si>
    <t>RegDst Flag (ID)</t>
    <phoneticPr fontId="1" type="noConversion"/>
  </si>
  <si>
    <t>ALUSrc Flag (ID)</t>
    <phoneticPr fontId="1" type="noConversion"/>
  </si>
  <si>
    <t>MemtoReg Flag (ID)</t>
    <phoneticPr fontId="1" type="noConversion"/>
  </si>
  <si>
    <t>RegWrite Flag (ID)</t>
    <phoneticPr fontId="1" type="noConversion"/>
  </si>
  <si>
    <t>MemRead Flag (ID)</t>
    <phoneticPr fontId="1" type="noConversion"/>
  </si>
  <si>
    <t>MemWrite Flag (ID)</t>
    <phoneticPr fontId="1" type="noConversion"/>
  </si>
  <si>
    <t>Branch Flag (ID)</t>
    <phoneticPr fontId="1" type="noConversion"/>
  </si>
  <si>
    <t>Jump Flag (ID)</t>
    <phoneticPr fontId="1" type="noConversion"/>
  </si>
  <si>
    <t>SignExtend Flag (Zero or Sign) (ID)</t>
    <phoneticPr fontId="1" type="noConversion"/>
  </si>
  <si>
    <t>w_ex_reg_rdata1</t>
    <phoneticPr fontId="1" type="noConversion"/>
  </si>
  <si>
    <t>w_ex_reg_rdata2</t>
    <phoneticPr fontId="1" type="noConversion"/>
  </si>
  <si>
    <t>Registers RDATA1 (EX)</t>
    <phoneticPr fontId="1" type="noConversion"/>
  </si>
  <si>
    <t>Registers RDATA2 (EX)</t>
    <phoneticPr fontId="1" type="noConversion"/>
  </si>
  <si>
    <t>w_ex_sign_extend_const</t>
    <phoneticPr fontId="1" type="noConversion"/>
  </si>
  <si>
    <t>Sign-Extend Constant (ID)</t>
    <phoneticPr fontId="1" type="noConversion"/>
  </si>
  <si>
    <t>Sign-Extend Constant (EX)</t>
    <phoneticPr fontId="1" type="noConversion"/>
  </si>
  <si>
    <t>w_id_sign_extend_const</t>
    <phoneticPr fontId="1" type="noConversion"/>
  </si>
  <si>
    <t>w_ex_ctr_alusrc</t>
    <phoneticPr fontId="1" type="noConversion"/>
  </si>
  <si>
    <t>ALUSrc Flag (EX)</t>
    <phoneticPr fontId="1" type="noConversion"/>
  </si>
  <si>
    <t>w_id_jump_addr</t>
    <phoneticPr fontId="1" type="noConversion"/>
  </si>
  <si>
    <t>Jump ADDR (ID)</t>
    <phoneticPr fontId="1" type="noConversion"/>
  </si>
  <si>
    <t>w_ex_jump_addr</t>
    <phoneticPr fontId="1" type="noConversion"/>
  </si>
  <si>
    <t>Jump ADDR (EX)</t>
    <phoneticPr fontId="1" type="noConversion"/>
  </si>
  <si>
    <t>u_id_ex_bridge</t>
  </si>
  <si>
    <t>u_if_id_bridge</t>
  </si>
  <si>
    <t>u_id_ex_bridge</t>
    <phoneticPr fontId="1" type="noConversion"/>
  </si>
  <si>
    <t>u_ex_mem_bridge</t>
    <phoneticPr fontId="1" type="noConversion"/>
  </si>
  <si>
    <t>u_mem_wb_bridge</t>
    <phoneticPr fontId="1" type="noConversion"/>
  </si>
  <si>
    <t>w_id_dec_funct</t>
    <phoneticPr fontId="1" type="noConversion"/>
  </si>
  <si>
    <t>Decoded FUNCT CODE (ID)</t>
    <phoneticPr fontId="1" type="noConversion"/>
  </si>
  <si>
    <t>w_ex_dec_funct</t>
    <phoneticPr fontId="1" type="noConversion"/>
  </si>
  <si>
    <t>Decoded FUNCT CODE (EX)</t>
    <phoneticPr fontId="1" type="noConversion"/>
  </si>
  <si>
    <t>w_ex_aluop</t>
    <phoneticPr fontId="1" type="noConversion"/>
  </si>
  <si>
    <t>ALUOpA (EX)</t>
    <phoneticPr fontId="1" type="noConversion"/>
  </si>
  <si>
    <t>w_ex_memread</t>
    <phoneticPr fontId="1" type="noConversion"/>
  </si>
  <si>
    <t>w_ex_memwrite</t>
    <phoneticPr fontId="1" type="noConversion"/>
  </si>
  <si>
    <t>MemRead Flag (EX)</t>
    <phoneticPr fontId="1" type="noConversion"/>
  </si>
  <si>
    <t>MemWrite Flag (EX)</t>
    <phoneticPr fontId="1" type="noConversion"/>
  </si>
  <si>
    <t>w_mem_memread</t>
    <phoneticPr fontId="1" type="noConversion"/>
  </si>
  <si>
    <t>w_mem_memwrite</t>
    <phoneticPr fontId="1" type="noConversion"/>
  </si>
  <si>
    <t>MemRead Flag (MEM)</t>
    <phoneticPr fontId="1" type="noConversion"/>
  </si>
  <si>
    <t>MemWrite Flag (MEM)</t>
    <phoneticPr fontId="1" type="noConversion"/>
  </si>
  <si>
    <t>w_mem_alu_out</t>
    <phoneticPr fontId="1" type="noConversion"/>
  </si>
  <si>
    <t>w_ex_alu_out</t>
    <phoneticPr fontId="1" type="noConversion"/>
  </si>
  <si>
    <t>ALU Output (EX)</t>
    <phoneticPr fontId="1" type="noConversion"/>
  </si>
  <si>
    <t>ALU Output (MEM)</t>
    <phoneticPr fontId="1" type="noConversion"/>
  </si>
  <si>
    <t>w_mem_reg_rdata2</t>
    <phoneticPr fontId="1" type="noConversion"/>
  </si>
  <si>
    <t>Registers RDATA2 (MEM)</t>
    <phoneticPr fontId="1" type="noConversion"/>
  </si>
  <si>
    <t>w_ex_branch</t>
    <phoneticPr fontId="1" type="noConversion"/>
  </si>
  <si>
    <t>Branch Flag (EX)</t>
    <phoneticPr fontId="1" type="noConversion"/>
  </si>
  <si>
    <t>w_ex_ctr_jump</t>
    <phoneticPr fontId="1" type="noConversion"/>
  </si>
  <si>
    <t>Jump Flag (EX)</t>
    <phoneticPr fontId="1" type="noConversion"/>
  </si>
  <si>
    <t>w_ex_memtoreg</t>
    <phoneticPr fontId="1" type="noConversion"/>
  </si>
  <si>
    <t>w_mem_memtoreg</t>
    <phoneticPr fontId="1" type="noConversion"/>
  </si>
  <si>
    <t>MemtoReg Flag (EX)</t>
    <phoneticPr fontId="1" type="noConversion"/>
  </si>
  <si>
    <t>MemtoReg Flag (MEM)</t>
    <phoneticPr fontId="1" type="noConversion"/>
  </si>
  <si>
    <t>MemtoReg Flag (WB)</t>
    <phoneticPr fontId="1" type="noConversion"/>
  </si>
  <si>
    <t>w_wb_alu_out</t>
    <phoneticPr fontId="1" type="noConversion"/>
  </si>
  <si>
    <t>ALU Output (WB)</t>
    <phoneticPr fontId="1" type="noConversion"/>
  </si>
  <si>
    <t>w_ex_jump_mux_addr</t>
    <phoneticPr fontId="1" type="noConversion"/>
  </si>
  <si>
    <t>Branch ADDR or Jump ADDR ([Warning] Hazard)</t>
    <phoneticPr fontId="1" type="noConversion"/>
  </si>
  <si>
    <t>w_id_dec_jaddr</t>
  </si>
  <si>
    <t>w_if_i_mem_en</t>
    <phoneticPr fontId="1" type="noConversion"/>
  </si>
  <si>
    <t>w_id_shift_left2_dec_jaddr</t>
  </si>
  <si>
    <t>w_ex_shift_left2_sign_extend_const</t>
  </si>
  <si>
    <t>w_ex_sign_extend_branch_addr</t>
    <phoneticPr fontId="1" type="noConversion"/>
  </si>
  <si>
    <t>w_ex_branch_addr</t>
  </si>
  <si>
    <t>w_id_dec_opcode</t>
    <phoneticPr fontId="1" type="noConversion"/>
  </si>
  <si>
    <t>w_id_dec_rs</t>
    <phoneticPr fontId="1" type="noConversion"/>
  </si>
  <si>
    <t>w_id_dec_rt</t>
    <phoneticPr fontId="1" type="noConversion"/>
  </si>
  <si>
    <t>w_id_dec_rd</t>
    <phoneticPr fontId="1" type="noConversion"/>
  </si>
  <si>
    <t>w_id_dec_shamt</t>
    <phoneticPr fontId="1" type="noConversion"/>
  </si>
  <si>
    <t>w_id_dec_const</t>
    <phoneticPr fontId="1" type="noConversion"/>
  </si>
  <si>
    <t>w_ex_alu_ctr</t>
  </si>
  <si>
    <t>w_wb_memtoreg_mux_data</t>
  </si>
  <si>
    <t>w_ex_alusrc_mux_data</t>
  </si>
  <si>
    <t>w_ex_alu_carry_out</t>
    <phoneticPr fontId="1" type="noConversion"/>
  </si>
  <si>
    <t>w_ex_alu_zero</t>
  </si>
  <si>
    <t>w_ex_hi</t>
    <phoneticPr fontId="1" type="noConversion"/>
  </si>
  <si>
    <t>w_ex_lo</t>
    <phoneticPr fontId="1" type="noConversion"/>
  </si>
  <si>
    <t>w_ex_branch_mux_addr</t>
    <phoneticPr fontId="1" type="noConversion"/>
  </si>
  <si>
    <t>w_ex_regwrite</t>
    <phoneticPr fontId="1" type="noConversion"/>
  </si>
  <si>
    <t>RegWrite Flag (EX)</t>
    <phoneticPr fontId="1" type="noConversion"/>
  </si>
  <si>
    <t>RegWrite Flag (MEM)</t>
    <phoneticPr fontId="1" type="noConversion"/>
  </si>
  <si>
    <t>RegWrite Flag (WB)</t>
    <phoneticPr fontId="1" type="noConversion"/>
  </si>
  <si>
    <t>Decoded rd Register (ID)</t>
    <phoneticPr fontId="1" type="noConversion"/>
  </si>
  <si>
    <t>Decoded rt Register (EX)</t>
    <phoneticPr fontId="1" type="noConversion"/>
  </si>
  <si>
    <t>w_ex_dec_rt</t>
    <phoneticPr fontId="1" type="noConversion"/>
  </si>
  <si>
    <t>w_mem_dec_rt</t>
    <phoneticPr fontId="1" type="noConversion"/>
  </si>
  <si>
    <t>Decoded rt Register (MEM)</t>
    <phoneticPr fontId="1" type="noConversion"/>
  </si>
  <si>
    <t>w_wb_regdst_mux_reg</t>
    <phoneticPr fontId="1" type="noConversion"/>
  </si>
  <si>
    <t>rt or rd Register (WB)</t>
    <phoneticPr fontId="1" type="noConversion"/>
  </si>
  <si>
    <t>w_ex_dec_rs</t>
  </si>
  <si>
    <t>Decoded rs Register (EX)</t>
    <phoneticPr fontId="1" type="noConversion"/>
  </si>
  <si>
    <t>Decoded rs Register (ID)</t>
    <phoneticPr fontId="1" type="noConversion"/>
  </si>
  <si>
    <t>w_mem_regdst_mux_reg</t>
  </si>
  <si>
    <t>rt or rd Register (MEM)</t>
    <phoneticPr fontId="1" type="noConversion"/>
  </si>
  <si>
    <t>w_if_pc_mux_addr</t>
    <phoneticPr fontId="1" type="noConversion"/>
  </si>
  <si>
    <t>u_pc_mux</t>
    <phoneticPr fontId="1" type="noConversion"/>
  </si>
  <si>
    <t>I-MEM RADDR (Next)</t>
    <phoneticPr fontId="1" type="noConversion"/>
  </si>
  <si>
    <t>w_mem_regwrite</t>
    <phoneticPr fontId="1" type="noConversion"/>
  </si>
  <si>
    <t>u_alu_src_mux</t>
    <phoneticPr fontId="1" type="noConversion"/>
  </si>
  <si>
    <t>u_wdata_forward_mux</t>
    <phoneticPr fontId="1" type="noConversion"/>
  </si>
  <si>
    <t>WDATA Forward MUX Data</t>
    <phoneticPr fontId="1" type="noConversion"/>
  </si>
  <si>
    <t>w_ex_regdst_mux_reg</t>
    <phoneticPr fontId="1" type="noConversion"/>
  </si>
  <si>
    <t>rt or rd Register (EX)</t>
    <phoneticPr fontId="1" type="noConversion"/>
  </si>
  <si>
    <t>u_alu_forward_a_mux</t>
    <phoneticPr fontId="1" type="noConversion"/>
  </si>
  <si>
    <t>u_alu_forward_b_mux</t>
    <phoneticPr fontId="1" type="noConversion"/>
  </si>
  <si>
    <t>w_ex_fw_ctr_wdata_2c</t>
    <phoneticPr fontId="1" type="noConversion"/>
  </si>
  <si>
    <t>u_wdata_forwarding_unit</t>
    <phoneticPr fontId="1" type="noConversion"/>
  </si>
  <si>
    <t>w_mem_fw_ctr_wdata_2c</t>
    <phoneticPr fontId="1" type="noConversion"/>
  </si>
  <si>
    <t>w_fw_ctr_alu_a_1c</t>
    <phoneticPr fontId="1" type="noConversion"/>
  </si>
  <si>
    <t>w_fw_ctr_alu_b_1c</t>
    <phoneticPr fontId="1" type="noConversion"/>
  </si>
  <si>
    <t>w_fw_ctr_alu_a_2c</t>
    <phoneticPr fontId="1" type="noConversion"/>
  </si>
  <si>
    <t>w_fw_ctr_alu_b_2c</t>
    <phoneticPr fontId="1" type="noConversion"/>
  </si>
  <si>
    <t>w_fw_ctr_wdata_1c</t>
    <phoneticPr fontId="1" type="noConversion"/>
  </si>
  <si>
    <t>w_mem_wdata_fw_mux_data</t>
    <phoneticPr fontId="1" type="noConversion"/>
  </si>
  <si>
    <t>w_ex_alu_fw_mux_data_b</t>
  </si>
  <si>
    <t>w_mem_wdata_fw_mux_data_2c</t>
    <phoneticPr fontId="1" type="noConversion"/>
  </si>
  <si>
    <t>u_alu_forwarding_unit</t>
  </si>
  <si>
    <t>u_alu_forward_a_mux</t>
  </si>
  <si>
    <t>u_alu_forward_b_mux</t>
  </si>
  <si>
    <t>u_wdata_forward_2cycle_mux</t>
    <phoneticPr fontId="1" type="noConversion"/>
  </si>
  <si>
    <t>u_ex_mem_bridge
u_wdata_forward_2cycle_mux</t>
    <phoneticPr fontId="1" type="noConversion"/>
  </si>
  <si>
    <t>w_ex_wdata_fw_mux_data_2c</t>
    <phoneticPr fontId="1" type="noConversion"/>
  </si>
  <si>
    <t>WDATA Forward MUX Data (2 Cylce) (EX)</t>
    <phoneticPr fontId="1" type="noConversion"/>
  </si>
  <si>
    <t>WDATA Forward MUX Data (2 Cylce) (MEM)</t>
    <phoneticPr fontId="1" type="noConversion"/>
  </si>
  <si>
    <t>w_id_jump</t>
    <phoneticPr fontId="1" type="noConversion"/>
  </si>
  <si>
    <t>Instruction Flush Signal</t>
    <phoneticPr fontId="1" type="noConversion"/>
  </si>
  <si>
    <t>w_id_pc_addr</t>
  </si>
  <si>
    <t>w_id_pc_addr
w_id_shift_left2_dec_jaddr</t>
  </si>
  <si>
    <t>w_ex_pc_addr</t>
    <phoneticPr fontId="1" type="noConversion"/>
  </si>
  <si>
    <t>u_ex_mem_bridge
u_load_stall_unit</t>
    <phoneticPr fontId="1" type="noConversion"/>
  </si>
  <si>
    <t>u_registers
u_id_ex_bridge
u_load_stall_unit</t>
    <phoneticPr fontId="1" type="noConversion"/>
  </si>
  <si>
    <t>u_load_stall_unit</t>
    <phoneticPr fontId="1" type="noConversion"/>
  </si>
  <si>
    <t>Load Stall Flag Signal</t>
    <phoneticPr fontId="1" type="noConversion"/>
  </si>
  <si>
    <t>u_pc_mux
u_if_id_bridge
u_id_ex_bridge</t>
    <phoneticPr fontId="1" type="noConversion"/>
  </si>
  <si>
    <t>u_control_unit
u_id_ex_bridge</t>
    <phoneticPr fontId="1" type="noConversion"/>
  </si>
  <si>
    <t>w_mem_jump</t>
    <phoneticPr fontId="1" type="noConversion"/>
  </si>
  <si>
    <t>Jump Flag (MEM)</t>
    <phoneticPr fontId="1" type="noConversion"/>
  </si>
  <si>
    <t>Jump Flag (WB)</t>
    <phoneticPr fontId="1" type="noConversion"/>
  </si>
  <si>
    <t>w_wb_regdst_jal_mux_reg</t>
    <phoneticPr fontId="1" type="noConversion"/>
  </si>
  <si>
    <t>u_regdst_jal_mux</t>
    <phoneticPr fontId="1" type="noConversion"/>
  </si>
  <si>
    <t>rt or rd or $ra Register (WB)</t>
    <phoneticPr fontId="1" type="noConversion"/>
  </si>
  <si>
    <t>w_mem_pc_addr</t>
    <phoneticPr fontId="1" type="noConversion"/>
  </si>
  <si>
    <t>w_wb_pc_addr</t>
    <phoneticPr fontId="1" type="noConversion"/>
  </si>
  <si>
    <t>PC ADDR (ID)</t>
    <phoneticPr fontId="1" type="noConversion"/>
  </si>
  <si>
    <t>PC ADDR (MEM)</t>
    <phoneticPr fontId="1" type="noConversion"/>
  </si>
  <si>
    <t>PC ADDR (WB)</t>
    <phoneticPr fontId="1" type="noConversion"/>
  </si>
  <si>
    <t>w_ex_alu_negative</t>
    <phoneticPr fontId="1" type="noConversion"/>
  </si>
  <si>
    <t>ALU Negative Out</t>
    <phoneticPr fontId="1" type="noConversion"/>
  </si>
  <si>
    <t>w_ex_ctr_flush</t>
  </si>
  <si>
    <t>u_pc_stall_mux</t>
    <phoneticPr fontId="1" type="noConversion"/>
  </si>
  <si>
    <t>w_if_pc_stall_mux_addr</t>
    <phoneticPr fontId="1" type="noConversion"/>
  </si>
  <si>
    <t>I-MEM RADDR (Next) (Not Applied Load Stall)</t>
    <phoneticPr fontId="1" type="noConversion"/>
  </si>
  <si>
    <t>w_if_pc_addr</t>
    <phoneticPr fontId="1" type="noConversion"/>
  </si>
  <si>
    <t>w_if_i_mem_addr</t>
    <phoneticPr fontId="1" type="noConversion"/>
  </si>
  <si>
    <t>PC ADDR (IF)</t>
    <phoneticPr fontId="1" type="noConversion"/>
  </si>
  <si>
    <t>u_if_id_bridge
u_id_ex_bridge
u_pc_stall_mux
u_i_mem_addr_mux</t>
    <phoneticPr fontId="1" type="noConversion"/>
  </si>
  <si>
    <t>u_id_ex_bridge
w_id_jump_addr
u_i_mem_addr_mux</t>
    <phoneticPr fontId="1" type="noConversion"/>
  </si>
  <si>
    <t>u_i_mem_addr_mux</t>
    <phoneticPr fontId="1" type="noConversion"/>
  </si>
  <si>
    <t>u_addr_4_addr
u_i_mem_addr_mux
u_if_id_bridge
u_pc_stall_mux</t>
    <phoneticPr fontId="1" type="noConversion"/>
  </si>
  <si>
    <t>o_d_mem_strb</t>
    <phoneticPr fontId="1" type="noConversion"/>
  </si>
  <si>
    <t>STRB_BIT</t>
    <phoneticPr fontId="1" type="noConversion"/>
  </si>
  <si>
    <t>w_id_memrstrb</t>
    <phoneticPr fontId="1" type="noConversion"/>
  </si>
  <si>
    <t>STRB_BIT</t>
    <phoneticPr fontId="1" type="noConversion"/>
  </si>
  <si>
    <t>u_control_unit</t>
    <phoneticPr fontId="1" type="noConversion"/>
  </si>
  <si>
    <t>u_id_ex_bridge</t>
    <phoneticPr fontId="1" type="noConversion"/>
  </si>
  <si>
    <t>MemRead Strobe (ID)</t>
    <phoneticPr fontId="1" type="noConversion"/>
  </si>
  <si>
    <t>w_id_memwstrb</t>
    <phoneticPr fontId="1" type="noConversion"/>
  </si>
  <si>
    <t>u_id_ex_bridge</t>
    <phoneticPr fontId="1" type="noConversion"/>
  </si>
  <si>
    <t>MemWrite Strobe (ID)</t>
    <phoneticPr fontId="1" type="noConversion"/>
  </si>
  <si>
    <t>u_ex_mem_bridge</t>
  </si>
  <si>
    <t>u_mem_wb_bridge</t>
  </si>
  <si>
    <t>w_ex_arbiter_req</t>
  </si>
  <si>
    <t>w_ex_beq_taken</t>
  </si>
  <si>
    <t>w_ex_bge_taken</t>
  </si>
  <si>
    <t>w_ex_blt_taken</t>
  </si>
  <si>
    <t>w_ex_bne_taken</t>
  </si>
  <si>
    <t>w_ex_link_ret_addr_kill</t>
  </si>
  <si>
    <t>w_ex_load_unsigned</t>
  </si>
  <si>
    <t>w_ex_memrstrb</t>
  </si>
  <si>
    <t>w_ex_memwstrb</t>
  </si>
  <si>
    <t>w_id_load_unsigned</t>
  </si>
  <si>
    <t>w_mem_arbiter_req</t>
  </si>
  <si>
    <t>w_mem_branch_taken</t>
  </si>
  <si>
    <t>w_mem_load_unsigned</t>
  </si>
  <si>
    <t>w_mem_memrstrb</t>
  </si>
  <si>
    <t>w_mem_memwstrb</t>
  </si>
  <si>
    <t>w_wb_branch_taken</t>
  </si>
  <si>
    <t>w_wb_ctr_link_ret_addr</t>
  </si>
  <si>
    <t>w_wb_d_mem_data</t>
  </si>
  <si>
    <t>w_wb_load_unsigned</t>
  </si>
  <si>
    <t>w_wb_memrstrb</t>
  </si>
  <si>
    <t>1</t>
  </si>
  <si>
    <t>w_ex_branch
w_ex_alu_zero</t>
  </si>
  <si>
    <t>w_ex_ctr_branch_taken</t>
  </si>
  <si>
    <t>w_ex_branch
w_ex_alu_negative</t>
  </si>
  <si>
    <t>STRB_BIT</t>
  </si>
  <si>
    <t>u_control_unit</t>
  </si>
  <si>
    <t>REG_BIT</t>
  </si>
  <si>
    <t>u_regdst_mux</t>
  </si>
  <si>
    <t>u_id_ex_bridge
u_load_stall_unit</t>
  </si>
  <si>
    <t>o_arbiter_req</t>
  </si>
  <si>
    <t>o_d_mem_strb</t>
  </si>
  <si>
    <t>w_wb_jump
w_wb_branch_taken</t>
  </si>
  <si>
    <t>u_regdst_jal_mux
u_memtoreg_mux</t>
  </si>
  <si>
    <t>DATA_BIT</t>
  </si>
  <si>
    <t>u_load_ctrl</t>
  </si>
  <si>
    <t>u_memtoreg_mux</t>
  </si>
  <si>
    <t>Arbiter Request (EX)</t>
  </si>
  <si>
    <t>Branch Equal Taken Flag</t>
  </si>
  <si>
    <t>Branch Greater Equal Taken Flag</t>
  </si>
  <si>
    <t>Branch Less Than Taken Flag</t>
  </si>
  <si>
    <t>Branch Not Equal Taken Flag</t>
  </si>
  <si>
    <t>BLT/BGEZAL Not Taken Flag Signal</t>
  </si>
  <si>
    <t>Load Unsigned Flag (EX)</t>
  </si>
  <si>
    <t>MemRead Strobe (EX)</t>
  </si>
  <si>
    <t>MemWrite Strobe (EX)</t>
  </si>
  <si>
    <t>Arbiter Request (ID)</t>
  </si>
  <si>
    <t>Load Unsigned Flag (ID)</t>
  </si>
  <si>
    <t>rt or rd Register (ID)</t>
  </si>
  <si>
    <t>Arbiter Request (MEM)</t>
  </si>
  <si>
    <t>Total Branch Taken Flag (MEM)</t>
  </si>
  <si>
    <t>Load Unsigned Flag (MEM)</t>
  </si>
  <si>
    <t>MemRead Strobe (MEM)</t>
  </si>
  <si>
    <t>MemWrite Strobe (MEM)</t>
  </si>
  <si>
    <t>Total Branch Taken Flag (WB)</t>
  </si>
  <si>
    <t>Link $ra MemtoReg Flag Signal</t>
  </si>
  <si>
    <t>D-MEM RDATA (WB)</t>
  </si>
  <si>
    <t>Load Unsigned Flag (WB)</t>
  </si>
  <si>
    <t>MemRead Strobe (WB)</t>
  </si>
  <si>
    <t>u_alu_ctrl</t>
  </si>
  <si>
    <t>w_ex_alu_fw_mux_data_a</t>
    <phoneticPr fontId="1" type="noConversion"/>
  </si>
  <si>
    <t>w_ex_blt_taken
w_ex_bge_taken
w_ex_link_ret_addr_kill</t>
    <phoneticPr fontId="1" type="noConversion"/>
  </si>
  <si>
    <t>w_ex_beq_taken
w_ex_bne_taken</t>
    <phoneticPr fontId="1" type="noConversion"/>
  </si>
  <si>
    <t>w_ex_beq_taken
w_ex_bne_taken
w_ex_blt_taken
w_ex_bge_taken
w_ex_link_ret_addr_kill</t>
    <phoneticPr fontId="1" type="noConversion"/>
  </si>
  <si>
    <t>w_ex_ctr_branch_taken</t>
    <phoneticPr fontId="1" type="noConversion"/>
  </si>
  <si>
    <t>w_ex_beq_taken
w_ex_bne_taken
w_ex_blt_taken
w_ex_bge_taken</t>
    <phoneticPr fontId="1" type="noConversion"/>
  </si>
  <si>
    <t>w_ex_ctr_flush
u_branch_mux
u_ex_mem_bridge</t>
    <phoneticPr fontId="1" type="noConversion"/>
  </si>
  <si>
    <t>Total Branch Taken Flag (EX)</t>
    <phoneticPr fontId="1" type="noConversion"/>
  </si>
  <si>
    <t>Branch ADDR</t>
    <phoneticPr fontId="1" type="noConversion"/>
  </si>
  <si>
    <t>ALU ForwardA MUX Data</t>
    <phoneticPr fontId="1" type="noConversion"/>
  </si>
  <si>
    <t>ALU ForwardB MUX Data</t>
    <phoneticPr fontId="1" type="noConversion"/>
  </si>
  <si>
    <t>w_ex_ctr_branch_taken
w_ex_ctr_jump</t>
    <phoneticPr fontId="1" type="noConversion"/>
  </si>
  <si>
    <t>u_ex_mem_bridge
u_alu_forwarding_unit
u_wdata_forwarding_mux</t>
    <phoneticPr fontId="1" type="noConversion"/>
  </si>
  <si>
    <t>WDATA Forward Output (2 Cycle) (EX)</t>
    <phoneticPr fontId="1" type="noConversion"/>
  </si>
  <si>
    <t>u_branch_addr_adder
u_branch_mux
u_ex_mem_bridge</t>
    <phoneticPr fontId="1" type="noConversion"/>
  </si>
  <si>
    <t>u_alu_forward_b_mux
u_wdata_forward_2cycle_mux
u_ex_mem_bridge</t>
    <phoneticPr fontId="1" type="noConversion"/>
  </si>
  <si>
    <t>ALU ForwardA Output (1 Cycle)</t>
    <phoneticPr fontId="1" type="noConversion"/>
  </si>
  <si>
    <t>ALU ForwardA Output (2 Cycle)</t>
    <phoneticPr fontId="1" type="noConversion"/>
  </si>
  <si>
    <t>ALU ForwardB Output (1 Cycle)</t>
    <phoneticPr fontId="1" type="noConversion"/>
  </si>
  <si>
    <t>ALU ForwardB Output (2 Cycle)</t>
    <phoneticPr fontId="1" type="noConversion"/>
  </si>
  <si>
    <t>WDATA Forward Output (1 Cycle)</t>
    <phoneticPr fontId="1" type="noConversion"/>
  </si>
  <si>
    <t>w_id_i_mem_data</t>
    <phoneticPr fontId="1" type="noConversion"/>
  </si>
  <si>
    <t>I-MEM DATA (ID)</t>
    <phoneticPr fontId="1" type="noConversion"/>
  </si>
  <si>
    <t>u_registers
u_control_unit
u_regdst_mux
u_id_ex_bridge
u_load_stall_unit</t>
    <phoneticPr fontId="1" type="noConversion"/>
  </si>
  <si>
    <t>w_id_ctr_regdst</t>
    <phoneticPr fontId="1" type="noConversion"/>
  </si>
  <si>
    <t>WDATA Forward Output (2 Cycle) (MEM)</t>
    <phoneticPr fontId="1" type="noConversion"/>
  </si>
  <si>
    <t>u_memtoreg_mux
u_wdata_forward_mux
u_wdata_forward_2cycle_mux</t>
    <phoneticPr fontId="1" type="noConversion"/>
  </si>
  <si>
    <t>w_wb_jump</t>
    <phoneticPr fontId="1" type="noConversion"/>
  </si>
  <si>
    <t>w_wb_regwrite</t>
    <phoneticPr fontId="1" type="noConversion"/>
  </si>
  <si>
    <t>w_wb_ctr_memtoreg</t>
    <phoneticPr fontId="1" type="noConversion"/>
  </si>
  <si>
    <t>w_id_arbiter_req</t>
    <phoneticPr fontId="1" type="noConversion"/>
  </si>
  <si>
    <t>w_id_regdst_mux_reg</t>
    <phoneticPr fontId="1" type="noConversion"/>
  </si>
  <si>
    <t>CPU Internal Interface</t>
    <phoneticPr fontId="1" type="noConversion"/>
  </si>
  <si>
    <t>CPU External Interface</t>
    <phoneticPr fontId="1" type="noConversion"/>
  </si>
  <si>
    <t>w_load_stall_ctr</t>
    <phoneticPr fontId="1" type="noConversion"/>
  </si>
  <si>
    <t>w_fw_ctr_jump_1c</t>
    <phoneticPr fontId="1" type="noConversion"/>
  </si>
  <si>
    <t>w_fw_ctr_jump_2c</t>
    <phoneticPr fontId="1" type="noConversion"/>
  </si>
  <si>
    <t>u_jump_forwarding_unit</t>
    <phoneticPr fontId="1" type="noConversion"/>
  </si>
  <si>
    <t>Jump Forward Output (1 Cycle)</t>
    <phoneticPr fontId="1" type="noConversion"/>
  </si>
  <si>
    <t>Jump Forward Output (2 Cycle)</t>
    <phoneticPr fontId="1" type="noConversion"/>
  </si>
  <si>
    <t>u_jump_register_forward_mux</t>
    <phoneticPr fontId="1" type="noConversion"/>
  </si>
  <si>
    <t>u_jump_register_forward_mux
u_alu_forward_a_mux</t>
    <phoneticPr fontId="1" type="noConversion"/>
  </si>
  <si>
    <r>
      <t xml:space="preserve">u_jump_register_forward_mux
u_mem_wb_bridge
</t>
    </r>
    <r>
      <rPr>
        <b/>
        <sz val="11"/>
        <color theme="1"/>
        <rFont val="맑은 고딕"/>
        <family val="3"/>
        <charset val="129"/>
        <scheme val="minor"/>
      </rPr>
      <t>o_d_mem_addr</t>
    </r>
    <r>
      <rPr>
        <sz val="11"/>
        <color theme="1"/>
        <rFont val="맑은 고딕"/>
        <family val="2"/>
        <charset val="129"/>
        <scheme val="minor"/>
      </rPr>
      <t xml:space="preserve">
u_alu_forward_a_mux
u_alu_forward_b_mux</t>
    </r>
    <phoneticPr fontId="1" type="noConversion"/>
  </si>
  <si>
    <t>u_registers
u_jump_register_forward_mux
u_alu_forward_a_mux
u_alu_forward_b_mux</t>
    <phoneticPr fontId="1" type="noConversion"/>
  </si>
  <si>
    <t>ALU Output or D-MEM RDATA</t>
    <phoneticPr fontId="1" type="noConversion"/>
  </si>
  <si>
    <t>u_jump_mux
u_ex_mem_bridge
w_ex_ctr_flush
u_jump_forwarding_unit</t>
    <phoneticPr fontId="1" type="noConversion"/>
  </si>
  <si>
    <t>u_alu_forwarding_unit
u_mem_wb_bridge
u_jump_forwarding_unit</t>
    <phoneticPr fontId="1" type="noConversion"/>
  </si>
  <si>
    <t>u_regdst_jal_mux
u_alu_forwarding_unit
u_wdata_forwarding_unit
u_jump_forwarding_unit</t>
    <phoneticPr fontId="1" type="noConversion"/>
  </si>
  <si>
    <t>u_alu_forwarding_unit
u_jump_forwarding_unit</t>
    <phoneticPr fontId="1" type="noConversion"/>
  </si>
  <si>
    <t>w_jump_register_forward_mux_data</t>
    <phoneticPr fontId="1" type="noConversion"/>
  </si>
  <si>
    <t>Jump Forward MUX Data</t>
    <phoneticPr fontId="1" type="noConversion"/>
  </si>
  <si>
    <t>w_wb_ctr_link_ret_addr
u_regdst_jal_mux</t>
    <phoneticPr fontId="1" type="noConversion"/>
  </si>
  <si>
    <t>u_mem_wb_bridge
u_alu_forwarding_unit
u_jump_forwarding_unit</t>
    <phoneticPr fontId="1" type="noConversion"/>
  </si>
  <si>
    <t>u_registers
u_wdata_forwarding_unit
u_alu_forwarding_unit
u_jump_forwarding_unit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</si>
  <si>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u_wdata_forwarding_unit</t>
    </r>
    <r>
      <rPr>
        <b/>
        <sz val="11"/>
        <color theme="1"/>
        <rFont val="맑은 고딕"/>
        <family val="3"/>
        <charset val="129"/>
        <scheme val="minor"/>
      </rPr>
      <t xml:space="preserve">
o_d_mem_en
o_d_mem_wren</t>
    </r>
    <phoneticPr fontId="1" type="noConversion"/>
  </si>
  <si>
    <t>u_ex_mem_bridge
u_wdata_forwarding_unit</t>
    <phoneticPr fontId="1" type="noConversion"/>
  </si>
  <si>
    <t>AXI</t>
    <phoneticPr fontId="1" type="noConversion"/>
  </si>
  <si>
    <t>{AXI5.MASTER}</t>
    <phoneticPr fontId="1" type="noConversion"/>
  </si>
  <si>
    <t>CPU/NoC</t>
    <phoneticPr fontId="1" type="noConversion"/>
  </si>
  <si>
    <t>NoC/CPU</t>
    <phoneticPr fontId="1" type="noConversion"/>
  </si>
  <si>
    <t>AXI-NoC Interface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</si>
</sst>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0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left" vertical="center"/>
    </xf>
    <xf numFmtId="176" fontId="2" fillId="2" borderId="17" xfId="0" applyNumberFormat="1" applyFont="1" applyFill="1" applyBorder="1" applyAlignment="1">
      <alignment horizontal="left" vertical="center"/>
    </xf>
    <xf numFmtId="176" fontId="2" fillId="3" borderId="4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left" vertical="center"/>
    </xf>
    <xf numFmtId="176" fontId="2" fillId="3" borderId="9" xfId="0" applyNumberFormat="1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left" vertical="center"/>
    </xf>
    <xf numFmtId="176" fontId="2" fillId="4" borderId="9" xfId="0" applyNumberFormat="1" applyFont="1" applyFill="1" applyBorder="1" applyAlignment="1">
      <alignment horizontal="left" vertical="center"/>
    </xf>
    <xf numFmtId="176" fontId="2" fillId="5" borderId="12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left" vertical="center"/>
    </xf>
    <xf numFmtId="176" fontId="2" fillId="5" borderId="17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6" fontId="3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/>
    </xf>
    <xf numFmtId="176" fontId="0" fillId="5" borderId="1" xfId="0" applyNumberForma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176" fontId="0" fillId="0" borderId="6" xfId="0" applyNumberFormat="1" applyBorder="1" applyAlignment="1">
      <alignment horizontal="left" vertical="center"/>
    </xf>
    <xf numFmtId="176" fontId="3" fillId="0" borderId="6" xfId="0" applyNumberFormat="1" applyFont="1" applyBorder="1" applyAlignment="1">
      <alignment horizontal="left" vertical="center"/>
    </xf>
    <xf numFmtId="3" fontId="3" fillId="0" borderId="5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left" vertical="center"/>
    </xf>
    <xf numFmtId="176" fontId="0" fillId="3" borderId="6" xfId="0" applyNumberFormat="1" applyFill="1" applyBorder="1" applyAlignment="1">
      <alignment horizontal="left" vertical="center"/>
    </xf>
    <xf numFmtId="176" fontId="3" fillId="3" borderId="6" xfId="0" applyNumberFormat="1" applyFont="1" applyFill="1" applyBorder="1" applyAlignment="1">
      <alignment horizontal="left" vertical="center"/>
    </xf>
    <xf numFmtId="176" fontId="0" fillId="5" borderId="6" xfId="0" applyNumberFormat="1" applyFill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76" fontId="0" fillId="0" borderId="12" xfId="0" applyNumberForma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176" fontId="2" fillId="2" borderId="11" xfId="0" applyNumberFormat="1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/>
    </xf>
    <xf numFmtId="176" fontId="2" fillId="2" borderId="16" xfId="0" applyNumberFormat="1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/>
    </xf>
    <xf numFmtId="176" fontId="2" fillId="5" borderId="11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76" fontId="2" fillId="4" borderId="8" xfId="0" applyNumberFormat="1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left" vertical="center"/>
    </xf>
    <xf numFmtId="176" fontId="0" fillId="0" borderId="8" xfId="0" applyNumberFormat="1" applyBorder="1" applyAlignment="1">
      <alignment horizontal="left" vertical="center" wrapText="1"/>
    </xf>
    <xf numFmtId="176" fontId="0" fillId="0" borderId="9" xfId="0" applyNumberForma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76" fontId="0" fillId="0" borderId="16" xfId="0" applyNumberFormat="1" applyBorder="1" applyAlignment="1">
      <alignment horizontal="left" vertical="center"/>
    </xf>
    <xf numFmtId="176" fontId="0" fillId="0" borderId="16" xfId="0" applyNumberFormat="1" applyBorder="1" applyAlignment="1">
      <alignment horizontal="left" vertical="center" wrapText="1"/>
    </xf>
    <xf numFmtId="176" fontId="0" fillId="0" borderId="17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6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center" vertical="center"/>
    </xf>
    <xf numFmtId="176" fontId="2" fillId="7" borderId="8" xfId="0" applyNumberFormat="1" applyFont="1" applyFill="1" applyBorder="1" applyAlignment="1">
      <alignment horizontal="left" vertical="center"/>
    </xf>
    <xf numFmtId="176" fontId="2" fillId="7" borderId="9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2"/>
  <sheetViews>
    <sheetView showGridLines="0" tabSelected="1" zoomScale="70" zoomScaleNormal="70" workbookViewId="0">
      <selection activeCell="C17" sqref="C17"/>
    </sheetView>
  </sheetViews>
  <sheetFormatPr defaultColWidth="8.625" defaultRowHeight="16.5" x14ac:dyDescent="0.3"/>
  <cols>
    <col min="1" max="1" width="2.625" style="1" customWidth="1"/>
    <col min="2" max="2" width="9.25" style="1" bestFit="1" customWidth="1"/>
    <col min="3" max="3" width="32.625" style="3" bestFit="1" customWidth="1"/>
    <col min="4" max="4" width="15" style="1" bestFit="1" customWidth="1"/>
    <col min="5" max="5" width="32.625" style="1" bestFit="1" customWidth="1"/>
    <col min="6" max="6" width="29.375" style="2" bestFit="1" customWidth="1"/>
    <col min="7" max="7" width="48.875" style="5" bestFit="1" customWidth="1"/>
    <col min="8" max="8" width="2.625" style="4" customWidth="1"/>
    <col min="9" max="16384" width="8.625" style="1"/>
  </cols>
  <sheetData>
    <row r="1" spans="2:7" ht="17.25" thickBot="1" x14ac:dyDescent="0.35"/>
    <row r="2" spans="2:7" ht="17.25" thickBot="1" x14ac:dyDescent="0.35">
      <c r="B2" s="129" t="s">
        <v>358</v>
      </c>
      <c r="C2" s="130"/>
      <c r="D2" s="130"/>
      <c r="E2" s="130"/>
      <c r="F2" s="130"/>
      <c r="G2" s="131"/>
    </row>
    <row r="3" spans="2:7" ht="17.25" thickBot="1" x14ac:dyDescent="0.35">
      <c r="B3" s="106" t="s">
        <v>40</v>
      </c>
      <c r="C3" s="6" t="s">
        <v>0</v>
      </c>
      <c r="D3" s="6" t="s">
        <v>3</v>
      </c>
      <c r="E3" s="7" t="s">
        <v>1</v>
      </c>
      <c r="F3" s="7" t="s">
        <v>2</v>
      </c>
      <c r="G3" s="8" t="s">
        <v>7</v>
      </c>
    </row>
    <row r="4" spans="2:7" x14ac:dyDescent="0.3">
      <c r="B4" s="22">
        <v>1</v>
      </c>
      <c r="C4" s="23" t="s">
        <v>4</v>
      </c>
      <c r="D4" s="30">
        <v>1</v>
      </c>
      <c r="E4" s="108" t="s">
        <v>6</v>
      </c>
      <c r="F4" s="109" t="s">
        <v>22</v>
      </c>
      <c r="G4" s="9" t="s">
        <v>8</v>
      </c>
    </row>
    <row r="5" spans="2:7" ht="17.25" thickBot="1" x14ac:dyDescent="0.35">
      <c r="B5" s="40">
        <v>2</v>
      </c>
      <c r="C5" s="47" t="s">
        <v>5</v>
      </c>
      <c r="D5" s="31">
        <v>1</v>
      </c>
      <c r="E5" s="110" t="s">
        <v>6</v>
      </c>
      <c r="F5" s="111" t="s">
        <v>22</v>
      </c>
      <c r="G5" s="10" t="s">
        <v>8</v>
      </c>
    </row>
    <row r="6" spans="2:7" x14ac:dyDescent="0.3">
      <c r="B6" s="41">
        <v>3</v>
      </c>
      <c r="C6" s="48" t="s">
        <v>9</v>
      </c>
      <c r="D6" s="32" t="s">
        <v>19</v>
      </c>
      <c r="E6" s="48" t="s">
        <v>21</v>
      </c>
      <c r="F6" s="48" t="s">
        <v>22</v>
      </c>
      <c r="G6" s="11" t="s">
        <v>25</v>
      </c>
    </row>
    <row r="7" spans="2:7" x14ac:dyDescent="0.3">
      <c r="B7" s="24">
        <v>4</v>
      </c>
      <c r="C7" s="25" t="s">
        <v>10</v>
      </c>
      <c r="D7" s="33">
        <v>1</v>
      </c>
      <c r="E7" s="25" t="s">
        <v>22</v>
      </c>
      <c r="F7" s="25" t="s">
        <v>21</v>
      </c>
      <c r="G7" s="13" t="s">
        <v>26</v>
      </c>
    </row>
    <row r="8" spans="2:7" ht="17.25" thickBot="1" x14ac:dyDescent="0.35">
      <c r="B8" s="42">
        <v>5</v>
      </c>
      <c r="C8" s="49" t="s">
        <v>11</v>
      </c>
      <c r="D8" s="34" t="s">
        <v>20</v>
      </c>
      <c r="E8" s="49" t="s">
        <v>22</v>
      </c>
      <c r="F8" s="49" t="s">
        <v>21</v>
      </c>
      <c r="G8" s="14" t="s">
        <v>26</v>
      </c>
    </row>
    <row r="9" spans="2:7" x14ac:dyDescent="0.3">
      <c r="B9" s="43">
        <v>6</v>
      </c>
      <c r="C9" s="50" t="s">
        <v>12</v>
      </c>
      <c r="D9" s="35" t="s">
        <v>19</v>
      </c>
      <c r="E9" s="112" t="s">
        <v>23</v>
      </c>
      <c r="F9" s="113" t="s">
        <v>22</v>
      </c>
      <c r="G9" s="17" t="s">
        <v>27</v>
      </c>
    </row>
    <row r="10" spans="2:7" x14ac:dyDescent="0.3">
      <c r="B10" s="26">
        <v>7</v>
      </c>
      <c r="C10" s="27" t="s">
        <v>13</v>
      </c>
      <c r="D10" s="36">
        <v>1</v>
      </c>
      <c r="E10" s="27" t="s">
        <v>22</v>
      </c>
      <c r="F10" s="27" t="s">
        <v>23</v>
      </c>
      <c r="G10" s="19" t="s">
        <v>28</v>
      </c>
    </row>
    <row r="11" spans="2:7" x14ac:dyDescent="0.3">
      <c r="B11" s="26">
        <v>8</v>
      </c>
      <c r="C11" s="27" t="s">
        <v>14</v>
      </c>
      <c r="D11" s="36">
        <v>1</v>
      </c>
      <c r="E11" s="27" t="s">
        <v>22</v>
      </c>
      <c r="F11" s="27" t="s">
        <v>23</v>
      </c>
      <c r="G11" s="19" t="s">
        <v>28</v>
      </c>
    </row>
    <row r="12" spans="2:7" x14ac:dyDescent="0.3">
      <c r="B12" s="26">
        <v>9</v>
      </c>
      <c r="C12" s="27" t="s">
        <v>15</v>
      </c>
      <c r="D12" s="36" t="s">
        <v>20</v>
      </c>
      <c r="E12" s="27" t="s">
        <v>22</v>
      </c>
      <c r="F12" s="27" t="s">
        <v>23</v>
      </c>
      <c r="G12" s="19" t="s">
        <v>28</v>
      </c>
    </row>
    <row r="13" spans="2:7" x14ac:dyDescent="0.3">
      <c r="B13" s="52">
        <v>10</v>
      </c>
      <c r="C13" s="53" t="s">
        <v>16</v>
      </c>
      <c r="D13" s="37" t="s">
        <v>19</v>
      </c>
      <c r="E13" s="53" t="s">
        <v>22</v>
      </c>
      <c r="F13" s="53" t="s">
        <v>23</v>
      </c>
      <c r="G13" s="20" t="s">
        <v>28</v>
      </c>
    </row>
    <row r="14" spans="2:7" ht="17.25" thickBot="1" x14ac:dyDescent="0.35">
      <c r="B14" s="44">
        <v>11</v>
      </c>
      <c r="C14" s="51" t="s">
        <v>254</v>
      </c>
      <c r="D14" s="37" t="s">
        <v>255</v>
      </c>
      <c r="E14" s="53" t="s">
        <v>22</v>
      </c>
      <c r="F14" s="53" t="s">
        <v>23</v>
      </c>
      <c r="G14" s="20" t="s">
        <v>28</v>
      </c>
    </row>
    <row r="15" spans="2:7" x14ac:dyDescent="0.3">
      <c r="B15" s="38">
        <v>12</v>
      </c>
      <c r="C15" s="39" t="s">
        <v>17</v>
      </c>
      <c r="D15" s="45">
        <v>1</v>
      </c>
      <c r="E15" s="114" t="s">
        <v>22</v>
      </c>
      <c r="F15" s="114" t="s">
        <v>24</v>
      </c>
      <c r="G15" s="15" t="s">
        <v>29</v>
      </c>
    </row>
    <row r="16" spans="2:7" ht="17.25" thickBot="1" x14ac:dyDescent="0.35">
      <c r="B16" s="28">
        <v>13</v>
      </c>
      <c r="C16" s="29" t="s">
        <v>18</v>
      </c>
      <c r="D16" s="46">
        <v>1</v>
      </c>
      <c r="E16" s="29" t="s">
        <v>24</v>
      </c>
      <c r="F16" s="115" t="s">
        <v>22</v>
      </c>
      <c r="G16" s="16" t="s">
        <v>30</v>
      </c>
    </row>
    <row r="17" spans="2:7" ht="17.25" thickBot="1" x14ac:dyDescent="0.35">
      <c r="B17" s="135">
        <v>14</v>
      </c>
      <c r="C17" s="136" t="s">
        <v>381</v>
      </c>
      <c r="D17" s="137" t="s">
        <v>382</v>
      </c>
      <c r="E17" s="136" t="s">
        <v>383</v>
      </c>
      <c r="F17" s="138" t="s">
        <v>384</v>
      </c>
      <c r="G17" s="139" t="s">
        <v>385</v>
      </c>
    </row>
    <row r="18" spans="2:7" ht="17.25" thickBot="1" x14ac:dyDescent="0.35"/>
    <row r="19" spans="2:7" ht="17.25" thickBot="1" x14ac:dyDescent="0.35">
      <c r="B19" s="132" t="s">
        <v>357</v>
      </c>
      <c r="C19" s="133"/>
      <c r="D19" s="133"/>
      <c r="E19" s="133"/>
      <c r="F19" s="133"/>
      <c r="G19" s="134"/>
    </row>
    <row r="20" spans="2:7" ht="17.25" thickBot="1" x14ac:dyDescent="0.35">
      <c r="B20" s="107" t="s">
        <v>40</v>
      </c>
      <c r="C20" s="6" t="s">
        <v>31</v>
      </c>
      <c r="D20" s="6" t="s">
        <v>3</v>
      </c>
      <c r="E20" s="6" t="s">
        <v>32</v>
      </c>
      <c r="F20" s="7" t="s">
        <v>33</v>
      </c>
      <c r="G20" s="8" t="s">
        <v>7</v>
      </c>
    </row>
    <row r="21" spans="2:7" x14ac:dyDescent="0.3">
      <c r="B21" s="102">
        <f>IF(C21="","",1)</f>
        <v>1</v>
      </c>
      <c r="C21" s="103" t="s">
        <v>168</v>
      </c>
      <c r="D21" s="104">
        <v>1</v>
      </c>
      <c r="E21" s="103" t="s">
        <v>66</v>
      </c>
      <c r="F21" s="128" t="s">
        <v>63</v>
      </c>
      <c r="G21" s="105" t="s">
        <v>70</v>
      </c>
    </row>
    <row r="22" spans="2:7" ht="33" x14ac:dyDescent="0.3">
      <c r="B22" s="89">
        <f t="shared" ref="B22:B51" si="0">IF(C22="","",B21+1)</f>
        <v>2</v>
      </c>
      <c r="C22" s="57" t="s">
        <v>165</v>
      </c>
      <c r="D22" s="58">
        <v>4</v>
      </c>
      <c r="E22" s="57" t="s">
        <v>324</v>
      </c>
      <c r="F22" s="71" t="s">
        <v>64</v>
      </c>
      <c r="G22" s="90" t="s">
        <v>65</v>
      </c>
    </row>
    <row r="23" spans="2:7" ht="33" x14ac:dyDescent="0.3">
      <c r="B23" s="89">
        <f t="shared" si="0"/>
        <v>3</v>
      </c>
      <c r="C23" s="57" t="s">
        <v>325</v>
      </c>
      <c r="D23" s="55" t="s">
        <v>19</v>
      </c>
      <c r="E23" s="57" t="s">
        <v>198</v>
      </c>
      <c r="F23" s="71" t="s">
        <v>64</v>
      </c>
      <c r="G23" s="90" t="s">
        <v>334</v>
      </c>
    </row>
    <row r="24" spans="2:7" x14ac:dyDescent="0.3">
      <c r="B24" s="89">
        <f t="shared" si="0"/>
        <v>4</v>
      </c>
      <c r="C24" s="57" t="s">
        <v>209</v>
      </c>
      <c r="D24" s="55" t="s">
        <v>19</v>
      </c>
      <c r="E24" s="57" t="s">
        <v>199</v>
      </c>
      <c r="F24" s="71" t="s">
        <v>193</v>
      </c>
      <c r="G24" s="90" t="s">
        <v>335</v>
      </c>
    </row>
    <row r="25" spans="2:7" ht="49.5" x14ac:dyDescent="0.3">
      <c r="B25" s="89">
        <f t="shared" si="0"/>
        <v>5</v>
      </c>
      <c r="C25" s="57" t="s">
        <v>241</v>
      </c>
      <c r="D25" s="58">
        <v>1</v>
      </c>
      <c r="E25" s="57" t="s">
        <v>66</v>
      </c>
      <c r="F25" s="71" t="s">
        <v>326</v>
      </c>
      <c r="G25" s="90" t="s">
        <v>242</v>
      </c>
    </row>
    <row r="26" spans="2:7" x14ac:dyDescent="0.3">
      <c r="B26" s="89">
        <f t="shared" si="0"/>
        <v>6</v>
      </c>
      <c r="C26" s="57" t="s">
        <v>135</v>
      </c>
      <c r="D26" s="55" t="s">
        <v>19</v>
      </c>
      <c r="E26" s="57" t="s">
        <v>66</v>
      </c>
      <c r="F26" s="71" t="s">
        <v>118</v>
      </c>
      <c r="G26" s="90" t="s">
        <v>136</v>
      </c>
    </row>
    <row r="27" spans="2:7" ht="33" x14ac:dyDescent="0.3">
      <c r="B27" s="89">
        <f t="shared" si="0"/>
        <v>7</v>
      </c>
      <c r="C27" s="57" t="s">
        <v>169</v>
      </c>
      <c r="D27" s="58">
        <v>1</v>
      </c>
      <c r="E27" s="57" t="s">
        <v>66</v>
      </c>
      <c r="F27" s="71" t="s">
        <v>327</v>
      </c>
      <c r="G27" s="90" t="s">
        <v>71</v>
      </c>
    </row>
    <row r="28" spans="2:7" x14ac:dyDescent="0.3">
      <c r="B28" s="89">
        <f t="shared" si="0"/>
        <v>8</v>
      </c>
      <c r="C28" s="57" t="s">
        <v>124</v>
      </c>
      <c r="D28" s="58">
        <v>4</v>
      </c>
      <c r="E28" s="57" t="s">
        <v>117</v>
      </c>
      <c r="F28" s="59" t="s">
        <v>324</v>
      </c>
      <c r="G28" s="90" t="s">
        <v>125</v>
      </c>
    </row>
    <row r="29" spans="2:7" ht="33" x14ac:dyDescent="0.3">
      <c r="B29" s="89">
        <f t="shared" si="0"/>
        <v>9</v>
      </c>
      <c r="C29" s="57" t="s">
        <v>167</v>
      </c>
      <c r="D29" s="55" t="s">
        <v>19</v>
      </c>
      <c r="E29" s="57" t="s">
        <v>67</v>
      </c>
      <c r="F29" s="71" t="s">
        <v>64</v>
      </c>
      <c r="G29" s="90" t="s">
        <v>69</v>
      </c>
    </row>
    <row r="30" spans="2:7" x14ac:dyDescent="0.3">
      <c r="B30" s="89">
        <f t="shared" si="0"/>
        <v>10</v>
      </c>
      <c r="C30" s="57" t="s">
        <v>266</v>
      </c>
      <c r="D30" s="73" t="s">
        <v>286</v>
      </c>
      <c r="E30" s="74" t="s">
        <v>115</v>
      </c>
      <c r="F30" s="71" t="s">
        <v>264</v>
      </c>
      <c r="G30" s="97" t="s">
        <v>302</v>
      </c>
    </row>
    <row r="31" spans="2:7" ht="33" x14ac:dyDescent="0.3">
      <c r="B31" s="89">
        <f t="shared" si="0"/>
        <v>11</v>
      </c>
      <c r="C31" s="72" t="s">
        <v>267</v>
      </c>
      <c r="D31" s="58" t="s">
        <v>286</v>
      </c>
      <c r="E31" s="74" t="s">
        <v>287</v>
      </c>
      <c r="F31" s="74" t="s">
        <v>288</v>
      </c>
      <c r="G31" s="98" t="s">
        <v>303</v>
      </c>
    </row>
    <row r="32" spans="2:7" ht="33" x14ac:dyDescent="0.3">
      <c r="B32" s="89">
        <f t="shared" si="0"/>
        <v>12</v>
      </c>
      <c r="C32" s="72" t="s">
        <v>268</v>
      </c>
      <c r="D32" s="58" t="s">
        <v>286</v>
      </c>
      <c r="E32" s="74" t="s">
        <v>289</v>
      </c>
      <c r="F32" s="74" t="s">
        <v>288</v>
      </c>
      <c r="G32" s="98" t="s">
        <v>304</v>
      </c>
    </row>
    <row r="33" spans="2:7" ht="33" x14ac:dyDescent="0.3">
      <c r="B33" s="89">
        <f t="shared" si="0"/>
        <v>13</v>
      </c>
      <c r="C33" s="72" t="s">
        <v>269</v>
      </c>
      <c r="D33" s="58" t="s">
        <v>286</v>
      </c>
      <c r="E33" s="74" t="s">
        <v>289</v>
      </c>
      <c r="F33" s="74" t="s">
        <v>288</v>
      </c>
      <c r="G33" s="98" t="s">
        <v>305</v>
      </c>
    </row>
    <row r="34" spans="2:7" ht="33" x14ac:dyDescent="0.3">
      <c r="B34" s="89">
        <f t="shared" si="0"/>
        <v>14</v>
      </c>
      <c r="C34" s="72" t="s">
        <v>270</v>
      </c>
      <c r="D34" s="58" t="s">
        <v>286</v>
      </c>
      <c r="E34" s="74" t="s">
        <v>287</v>
      </c>
      <c r="F34" s="74" t="s">
        <v>288</v>
      </c>
      <c r="G34" s="98" t="s">
        <v>306</v>
      </c>
    </row>
    <row r="35" spans="2:7" ht="82.5" x14ac:dyDescent="0.3">
      <c r="B35" s="89">
        <f t="shared" si="0"/>
        <v>15</v>
      </c>
      <c r="C35" s="57" t="s">
        <v>140</v>
      </c>
      <c r="D35" s="58">
        <v>3</v>
      </c>
      <c r="E35" s="59" t="s">
        <v>117</v>
      </c>
      <c r="F35" s="71" t="s">
        <v>328</v>
      </c>
      <c r="G35" s="90" t="s">
        <v>141</v>
      </c>
    </row>
    <row r="36" spans="2:7" x14ac:dyDescent="0.3">
      <c r="B36" s="89">
        <f t="shared" si="0"/>
        <v>16</v>
      </c>
      <c r="C36" s="57" t="s">
        <v>158</v>
      </c>
      <c r="D36" s="55" t="s">
        <v>19</v>
      </c>
      <c r="E36" s="57" t="s">
        <v>39</v>
      </c>
      <c r="F36" s="59" t="s">
        <v>52</v>
      </c>
      <c r="G36" s="90" t="s">
        <v>333</v>
      </c>
    </row>
    <row r="37" spans="2:7" x14ac:dyDescent="0.3">
      <c r="B37" s="89">
        <f t="shared" si="0"/>
        <v>17</v>
      </c>
      <c r="C37" s="57" t="s">
        <v>172</v>
      </c>
      <c r="D37" s="55" t="s">
        <v>20</v>
      </c>
      <c r="E37" s="57" t="s">
        <v>52</v>
      </c>
      <c r="F37" s="59" t="s">
        <v>35</v>
      </c>
      <c r="G37" s="90" t="s">
        <v>75</v>
      </c>
    </row>
    <row r="38" spans="2:7" x14ac:dyDescent="0.3">
      <c r="B38" s="89">
        <f t="shared" si="0"/>
        <v>18</v>
      </c>
      <c r="C38" s="57" t="s">
        <v>109</v>
      </c>
      <c r="D38" s="58">
        <v>1</v>
      </c>
      <c r="E38" s="57" t="s">
        <v>117</v>
      </c>
      <c r="F38" s="59" t="s">
        <v>67</v>
      </c>
      <c r="G38" s="90" t="s">
        <v>110</v>
      </c>
    </row>
    <row r="39" spans="2:7" ht="66" x14ac:dyDescent="0.3">
      <c r="B39" s="89">
        <f t="shared" si="0"/>
        <v>19</v>
      </c>
      <c r="C39" s="57" t="s">
        <v>329</v>
      </c>
      <c r="D39" s="58">
        <v>1</v>
      </c>
      <c r="E39" s="71" t="s">
        <v>330</v>
      </c>
      <c r="F39" s="71" t="s">
        <v>331</v>
      </c>
      <c r="G39" s="90" t="s">
        <v>332</v>
      </c>
    </row>
    <row r="40" spans="2:7" ht="49.5" x14ac:dyDescent="0.3">
      <c r="B40" s="89">
        <f t="shared" si="0"/>
        <v>20</v>
      </c>
      <c r="C40" s="57" t="s">
        <v>243</v>
      </c>
      <c r="D40" s="58">
        <v>1</v>
      </c>
      <c r="E40" s="74" t="s">
        <v>336</v>
      </c>
      <c r="F40" s="71" t="s">
        <v>228</v>
      </c>
      <c r="G40" s="90" t="s">
        <v>220</v>
      </c>
    </row>
    <row r="41" spans="2:7" ht="66" x14ac:dyDescent="0.3">
      <c r="B41" s="89">
        <f t="shared" si="0"/>
        <v>21</v>
      </c>
      <c r="C41" s="57" t="s">
        <v>142</v>
      </c>
      <c r="D41" s="58">
        <v>2</v>
      </c>
      <c r="E41" s="59" t="s">
        <v>117</v>
      </c>
      <c r="F41" s="71" t="s">
        <v>370</v>
      </c>
      <c r="G41" s="90" t="s">
        <v>143</v>
      </c>
    </row>
    <row r="42" spans="2:7" x14ac:dyDescent="0.3">
      <c r="B42" s="89">
        <f t="shared" si="0"/>
        <v>22</v>
      </c>
      <c r="C42" s="57" t="s">
        <v>122</v>
      </c>
      <c r="D42" s="58">
        <v>6</v>
      </c>
      <c r="E42" s="57" t="s">
        <v>115</v>
      </c>
      <c r="F42" s="59" t="s">
        <v>324</v>
      </c>
      <c r="G42" s="90" t="s">
        <v>123</v>
      </c>
    </row>
    <row r="43" spans="2:7" ht="33" x14ac:dyDescent="0.3">
      <c r="B43" s="89">
        <f t="shared" si="0"/>
        <v>23</v>
      </c>
      <c r="C43" s="57" t="s">
        <v>184</v>
      </c>
      <c r="D43" s="55" t="s">
        <v>55</v>
      </c>
      <c r="E43" s="57" t="s">
        <v>117</v>
      </c>
      <c r="F43" s="71" t="s">
        <v>373</v>
      </c>
      <c r="G43" s="90" t="s">
        <v>185</v>
      </c>
    </row>
    <row r="44" spans="2:7" ht="49.5" x14ac:dyDescent="0.3">
      <c r="B44" s="89">
        <f t="shared" si="0"/>
        <v>24</v>
      </c>
      <c r="C44" s="57" t="s">
        <v>179</v>
      </c>
      <c r="D44" s="55" t="s">
        <v>55</v>
      </c>
      <c r="E44" s="57" t="s">
        <v>117</v>
      </c>
      <c r="F44" s="71" t="s">
        <v>337</v>
      </c>
      <c r="G44" s="90" t="s">
        <v>178</v>
      </c>
    </row>
    <row r="45" spans="2:7" ht="33" x14ac:dyDescent="0.3">
      <c r="B45" s="89">
        <f t="shared" si="0"/>
        <v>25</v>
      </c>
      <c r="C45" s="57" t="s">
        <v>200</v>
      </c>
      <c r="D45" s="58">
        <v>1</v>
      </c>
      <c r="E45" s="74" t="s">
        <v>201</v>
      </c>
      <c r="F45" s="71" t="s">
        <v>215</v>
      </c>
      <c r="G45" s="90" t="s">
        <v>338</v>
      </c>
    </row>
    <row r="46" spans="2:7" x14ac:dyDescent="0.3">
      <c r="B46" s="89">
        <f t="shared" si="0"/>
        <v>26</v>
      </c>
      <c r="C46" s="57" t="s">
        <v>170</v>
      </c>
      <c r="D46" s="55" t="s">
        <v>19</v>
      </c>
      <c r="E46" s="57" t="s">
        <v>72</v>
      </c>
      <c r="F46" s="59" t="s">
        <v>63</v>
      </c>
      <c r="G46" s="90" t="s">
        <v>73</v>
      </c>
    </row>
    <row r="47" spans="2:7" x14ac:dyDescent="0.3">
      <c r="B47" s="89">
        <f t="shared" si="0"/>
        <v>27</v>
      </c>
      <c r="C47" s="57" t="s">
        <v>113</v>
      </c>
      <c r="D47" s="60" t="s">
        <v>19</v>
      </c>
      <c r="E47" s="74" t="s">
        <v>115</v>
      </c>
      <c r="F47" s="59" t="s">
        <v>35</v>
      </c>
      <c r="G47" s="90" t="s">
        <v>114</v>
      </c>
    </row>
    <row r="48" spans="2:7" x14ac:dyDescent="0.3">
      <c r="B48" s="89">
        <f t="shared" si="0"/>
        <v>28</v>
      </c>
      <c r="C48" s="61" t="s">
        <v>151</v>
      </c>
      <c r="D48" s="55" t="s">
        <v>20</v>
      </c>
      <c r="E48" s="61" t="s">
        <v>35</v>
      </c>
      <c r="F48" s="78" t="s">
        <v>190</v>
      </c>
      <c r="G48" s="91" t="s">
        <v>152</v>
      </c>
    </row>
    <row r="49" spans="2:7" ht="33" x14ac:dyDescent="0.3">
      <c r="B49" s="89">
        <f t="shared" si="0"/>
        <v>29</v>
      </c>
      <c r="C49" s="72" t="s">
        <v>271</v>
      </c>
      <c r="D49" s="58" t="s">
        <v>286</v>
      </c>
      <c r="E49" s="74" t="s">
        <v>289</v>
      </c>
      <c r="F49" s="74" t="s">
        <v>264</v>
      </c>
      <c r="G49" s="98" t="s">
        <v>307</v>
      </c>
    </row>
    <row r="50" spans="2:7" x14ac:dyDescent="0.3">
      <c r="B50" s="89">
        <f t="shared" si="0"/>
        <v>30</v>
      </c>
      <c r="C50" s="57" t="s">
        <v>171</v>
      </c>
      <c r="D50" s="55" t="s">
        <v>19</v>
      </c>
      <c r="E50" s="57" t="s">
        <v>72</v>
      </c>
      <c r="F50" s="59" t="s">
        <v>63</v>
      </c>
      <c r="G50" s="90" t="s">
        <v>74</v>
      </c>
    </row>
    <row r="51" spans="2:7" x14ac:dyDescent="0.3">
      <c r="B51" s="92">
        <f t="shared" si="0"/>
        <v>31</v>
      </c>
      <c r="C51" s="72" t="s">
        <v>272</v>
      </c>
      <c r="D51" s="58" t="s">
        <v>286</v>
      </c>
      <c r="E51" s="74" t="s">
        <v>115</v>
      </c>
      <c r="F51" s="74" t="s">
        <v>264</v>
      </c>
      <c r="G51" s="98" t="s">
        <v>308</v>
      </c>
    </row>
    <row r="52" spans="2:7" ht="33" x14ac:dyDescent="0.3">
      <c r="B52" s="89">
        <f t="shared" ref="B52:B83" si="1">IF(C52="","",B51+1)</f>
        <v>32</v>
      </c>
      <c r="C52" s="57" t="s">
        <v>126</v>
      </c>
      <c r="D52" s="58">
        <v>1</v>
      </c>
      <c r="E52" s="62" t="s">
        <v>117</v>
      </c>
      <c r="F52" s="78" t="s">
        <v>224</v>
      </c>
      <c r="G52" s="90" t="s">
        <v>128</v>
      </c>
    </row>
    <row r="53" spans="2:7" x14ac:dyDescent="0.3">
      <c r="B53" s="89">
        <f t="shared" si="1"/>
        <v>33</v>
      </c>
      <c r="C53" s="72" t="s">
        <v>273</v>
      </c>
      <c r="D53" s="55" t="s">
        <v>290</v>
      </c>
      <c r="E53" s="74" t="s">
        <v>115</v>
      </c>
      <c r="F53" s="74" t="s">
        <v>264</v>
      </c>
      <c r="G53" s="98" t="s">
        <v>309</v>
      </c>
    </row>
    <row r="54" spans="2:7" x14ac:dyDescent="0.3">
      <c r="B54" s="89">
        <f t="shared" si="1"/>
        <v>34</v>
      </c>
      <c r="C54" s="57" t="s">
        <v>144</v>
      </c>
      <c r="D54" s="58">
        <v>1</v>
      </c>
      <c r="E54" s="59" t="s">
        <v>117</v>
      </c>
      <c r="F54" s="71" t="s">
        <v>118</v>
      </c>
      <c r="G54" s="90" t="s">
        <v>146</v>
      </c>
    </row>
    <row r="55" spans="2:7" ht="33" x14ac:dyDescent="0.3">
      <c r="B55" s="89">
        <f t="shared" si="1"/>
        <v>35</v>
      </c>
      <c r="C55" s="57" t="s">
        <v>127</v>
      </c>
      <c r="D55" s="58">
        <v>1</v>
      </c>
      <c r="E55" s="62" t="s">
        <v>117</v>
      </c>
      <c r="F55" s="78" t="s">
        <v>380</v>
      </c>
      <c r="G55" s="90" t="s">
        <v>129</v>
      </c>
    </row>
    <row r="56" spans="2:7" x14ac:dyDescent="0.3">
      <c r="B56" s="89">
        <f t="shared" si="1"/>
        <v>36</v>
      </c>
      <c r="C56" s="72" t="s">
        <v>274</v>
      </c>
      <c r="D56" s="55" t="s">
        <v>290</v>
      </c>
      <c r="E56" s="74" t="s">
        <v>115</v>
      </c>
      <c r="F56" s="74" t="s">
        <v>264</v>
      </c>
      <c r="G56" s="98" t="s">
        <v>310</v>
      </c>
    </row>
    <row r="57" spans="2:7" ht="49.5" x14ac:dyDescent="0.3">
      <c r="B57" s="89">
        <f t="shared" si="1"/>
        <v>37</v>
      </c>
      <c r="C57" s="57" t="s">
        <v>223</v>
      </c>
      <c r="D57" s="55" t="s">
        <v>20</v>
      </c>
      <c r="E57" s="59" t="s">
        <v>115</v>
      </c>
      <c r="F57" s="71" t="s">
        <v>339</v>
      </c>
      <c r="G57" s="91" t="s">
        <v>78</v>
      </c>
    </row>
    <row r="58" spans="2:7" ht="33" x14ac:dyDescent="0.3">
      <c r="B58" s="89">
        <f t="shared" si="1"/>
        <v>38</v>
      </c>
      <c r="C58" s="57" t="s">
        <v>101</v>
      </c>
      <c r="D58" s="55" t="s">
        <v>19</v>
      </c>
      <c r="E58" s="57" t="s">
        <v>115</v>
      </c>
      <c r="F58" s="71" t="s">
        <v>366</v>
      </c>
      <c r="G58" s="90" t="s">
        <v>103</v>
      </c>
    </row>
    <row r="59" spans="2:7" ht="49.5" x14ac:dyDescent="0.3">
      <c r="B59" s="89">
        <f t="shared" si="1"/>
        <v>39</v>
      </c>
      <c r="C59" s="63" t="s">
        <v>102</v>
      </c>
      <c r="D59" s="64" t="s">
        <v>19</v>
      </c>
      <c r="E59" s="63" t="s">
        <v>115</v>
      </c>
      <c r="F59" s="79" t="s">
        <v>340</v>
      </c>
      <c r="G59" s="93" t="s">
        <v>104</v>
      </c>
    </row>
    <row r="60" spans="2:7" ht="33" x14ac:dyDescent="0.3">
      <c r="B60" s="89">
        <f t="shared" si="1"/>
        <v>40</v>
      </c>
      <c r="C60" s="57" t="s">
        <v>196</v>
      </c>
      <c r="D60" s="55" t="s">
        <v>55</v>
      </c>
      <c r="E60" s="57" t="s">
        <v>117</v>
      </c>
      <c r="F60" s="71" t="s">
        <v>224</v>
      </c>
      <c r="G60" s="90" t="s">
        <v>197</v>
      </c>
    </row>
    <row r="61" spans="2:7" x14ac:dyDescent="0.3">
      <c r="B61" s="89">
        <f t="shared" si="1"/>
        <v>41</v>
      </c>
      <c r="C61" s="57" t="s">
        <v>173</v>
      </c>
      <c r="D61" s="58">
        <v>1</v>
      </c>
      <c r="E61" s="59" t="s">
        <v>117</v>
      </c>
      <c r="F61" s="71" t="s">
        <v>118</v>
      </c>
      <c r="G61" s="90" t="s">
        <v>174</v>
      </c>
    </row>
    <row r="62" spans="2:7" x14ac:dyDescent="0.3">
      <c r="B62" s="89">
        <f t="shared" si="1"/>
        <v>42</v>
      </c>
      <c r="C62" s="57" t="s">
        <v>156</v>
      </c>
      <c r="D62" s="55" t="s">
        <v>48</v>
      </c>
      <c r="E62" s="57" t="s">
        <v>46</v>
      </c>
      <c r="F62" s="57" t="s">
        <v>157</v>
      </c>
      <c r="G62" s="90" t="s">
        <v>53</v>
      </c>
    </row>
    <row r="63" spans="2:7" x14ac:dyDescent="0.3">
      <c r="B63" s="89">
        <f t="shared" si="1"/>
        <v>43</v>
      </c>
      <c r="C63" s="57" t="s">
        <v>157</v>
      </c>
      <c r="D63" s="55" t="s">
        <v>19</v>
      </c>
      <c r="E63" s="57" t="s">
        <v>156</v>
      </c>
      <c r="F63" s="59" t="s">
        <v>39</v>
      </c>
      <c r="G63" s="90" t="s">
        <v>51</v>
      </c>
    </row>
    <row r="64" spans="2:7" ht="33" x14ac:dyDescent="0.3">
      <c r="B64" s="89">
        <f t="shared" si="1"/>
        <v>44</v>
      </c>
      <c r="C64" s="57" t="s">
        <v>105</v>
      </c>
      <c r="D64" s="55" t="s">
        <v>19</v>
      </c>
      <c r="E64" s="57" t="s">
        <v>115</v>
      </c>
      <c r="F64" s="71" t="s">
        <v>47</v>
      </c>
      <c r="G64" s="90" t="s">
        <v>107</v>
      </c>
    </row>
    <row r="65" spans="2:7" x14ac:dyDescent="0.3">
      <c r="B65" s="89">
        <f t="shared" si="1"/>
        <v>45</v>
      </c>
      <c r="C65" s="57" t="s">
        <v>216</v>
      </c>
      <c r="D65" s="55" t="s">
        <v>19</v>
      </c>
      <c r="E65" s="57" t="s">
        <v>214</v>
      </c>
      <c r="F65" s="57" t="s">
        <v>118</v>
      </c>
      <c r="G65" s="90" t="s">
        <v>217</v>
      </c>
    </row>
    <row r="66" spans="2:7" x14ac:dyDescent="0.3">
      <c r="B66" s="89">
        <f t="shared" si="1"/>
        <v>46</v>
      </c>
      <c r="C66" s="57" t="s">
        <v>203</v>
      </c>
      <c r="D66" s="58">
        <v>1</v>
      </c>
      <c r="E66" s="59" t="s">
        <v>211</v>
      </c>
      <c r="F66" s="59" t="s">
        <v>212</v>
      </c>
      <c r="G66" s="90" t="s">
        <v>341</v>
      </c>
    </row>
    <row r="67" spans="2:7" x14ac:dyDescent="0.3">
      <c r="B67" s="89">
        <f t="shared" si="1"/>
        <v>47</v>
      </c>
      <c r="C67" s="57" t="s">
        <v>205</v>
      </c>
      <c r="D67" s="58">
        <v>1</v>
      </c>
      <c r="E67" s="59" t="s">
        <v>211</v>
      </c>
      <c r="F67" s="59" t="s">
        <v>212</v>
      </c>
      <c r="G67" s="90" t="s">
        <v>342</v>
      </c>
    </row>
    <row r="68" spans="2:7" x14ac:dyDescent="0.3">
      <c r="B68" s="89">
        <f t="shared" si="1"/>
        <v>48</v>
      </c>
      <c r="C68" s="57" t="s">
        <v>204</v>
      </c>
      <c r="D68" s="58">
        <v>1</v>
      </c>
      <c r="E68" s="59" t="s">
        <v>211</v>
      </c>
      <c r="F68" s="59" t="s">
        <v>213</v>
      </c>
      <c r="G68" s="90" t="s">
        <v>343</v>
      </c>
    </row>
    <row r="69" spans="2:7" x14ac:dyDescent="0.3">
      <c r="B69" s="89">
        <f t="shared" si="1"/>
        <v>49</v>
      </c>
      <c r="C69" s="57" t="s">
        <v>206</v>
      </c>
      <c r="D69" s="58">
        <v>1</v>
      </c>
      <c r="E69" s="59" t="s">
        <v>211</v>
      </c>
      <c r="F69" s="59" t="s">
        <v>199</v>
      </c>
      <c r="G69" s="90" t="s">
        <v>344</v>
      </c>
    </row>
    <row r="70" spans="2:7" x14ac:dyDescent="0.3">
      <c r="B70" s="89">
        <f t="shared" si="1"/>
        <v>50</v>
      </c>
      <c r="C70" s="57" t="s">
        <v>360</v>
      </c>
      <c r="D70" s="58">
        <v>1</v>
      </c>
      <c r="E70" s="126" t="s">
        <v>362</v>
      </c>
      <c r="F70" s="126" t="s">
        <v>365</v>
      </c>
      <c r="G70" s="98" t="s">
        <v>363</v>
      </c>
    </row>
    <row r="71" spans="2:7" x14ac:dyDescent="0.3">
      <c r="B71" s="89">
        <f t="shared" si="1"/>
        <v>51</v>
      </c>
      <c r="C71" s="57" t="s">
        <v>361</v>
      </c>
      <c r="D71" s="58">
        <v>1</v>
      </c>
      <c r="E71" s="126" t="s">
        <v>362</v>
      </c>
      <c r="F71" s="126" t="s">
        <v>365</v>
      </c>
      <c r="G71" s="98" t="s">
        <v>364</v>
      </c>
    </row>
    <row r="72" spans="2:7" x14ac:dyDescent="0.3">
      <c r="B72" s="89">
        <f t="shared" si="1"/>
        <v>52</v>
      </c>
      <c r="C72" s="57" t="s">
        <v>207</v>
      </c>
      <c r="D72" s="56">
        <v>1</v>
      </c>
      <c r="E72" s="57" t="s">
        <v>201</v>
      </c>
      <c r="F72" s="59" t="s">
        <v>194</v>
      </c>
      <c r="G72" s="90" t="s">
        <v>345</v>
      </c>
    </row>
    <row r="73" spans="2:7" x14ac:dyDescent="0.3">
      <c r="B73" s="89">
        <f t="shared" si="1"/>
        <v>53</v>
      </c>
      <c r="C73" s="57" t="s">
        <v>79</v>
      </c>
      <c r="D73" s="58">
        <v>4</v>
      </c>
      <c r="E73" s="57" t="s">
        <v>57</v>
      </c>
      <c r="F73" s="59" t="s">
        <v>117</v>
      </c>
      <c r="G73" s="90" t="s">
        <v>91</v>
      </c>
    </row>
    <row r="74" spans="2:7" x14ac:dyDescent="0.3">
      <c r="B74" s="89">
        <f t="shared" si="1"/>
        <v>54</v>
      </c>
      <c r="C74" s="72" t="s">
        <v>355</v>
      </c>
      <c r="D74" s="58" t="s">
        <v>286</v>
      </c>
      <c r="E74" s="74" t="s">
        <v>291</v>
      </c>
      <c r="F74" s="74" t="s">
        <v>115</v>
      </c>
      <c r="G74" s="98" t="s">
        <v>311</v>
      </c>
    </row>
    <row r="75" spans="2:7" x14ac:dyDescent="0.3">
      <c r="B75" s="89">
        <f t="shared" si="1"/>
        <v>55</v>
      </c>
      <c r="C75" s="57" t="s">
        <v>85</v>
      </c>
      <c r="D75" s="58">
        <v>3</v>
      </c>
      <c r="E75" s="57" t="s">
        <v>57</v>
      </c>
      <c r="F75" s="59" t="s">
        <v>117</v>
      </c>
      <c r="G75" s="90" t="s">
        <v>98</v>
      </c>
    </row>
    <row r="76" spans="2:7" x14ac:dyDescent="0.3">
      <c r="B76" s="89">
        <f t="shared" si="1"/>
        <v>56</v>
      </c>
      <c r="C76" s="57" t="s">
        <v>80</v>
      </c>
      <c r="D76" s="58">
        <v>1</v>
      </c>
      <c r="E76" s="57" t="s">
        <v>57</v>
      </c>
      <c r="F76" s="59" t="s">
        <v>115</v>
      </c>
      <c r="G76" s="90" t="s">
        <v>93</v>
      </c>
    </row>
    <row r="77" spans="2:7" x14ac:dyDescent="0.3">
      <c r="B77" s="89">
        <f t="shared" si="1"/>
        <v>57</v>
      </c>
      <c r="C77" s="57" t="s">
        <v>349</v>
      </c>
      <c r="D77" s="58">
        <v>1</v>
      </c>
      <c r="E77" s="57" t="s">
        <v>57</v>
      </c>
      <c r="F77" s="57" t="s">
        <v>62</v>
      </c>
      <c r="G77" s="90" t="s">
        <v>92</v>
      </c>
    </row>
    <row r="78" spans="2:7" x14ac:dyDescent="0.3">
      <c r="B78" s="89">
        <f t="shared" si="1"/>
        <v>58</v>
      </c>
      <c r="C78" s="57" t="s">
        <v>164</v>
      </c>
      <c r="D78" s="55" t="s">
        <v>56</v>
      </c>
      <c r="E78" s="57" t="s">
        <v>43</v>
      </c>
      <c r="F78" s="59" t="s">
        <v>42</v>
      </c>
      <c r="G78" s="90" t="s">
        <v>60</v>
      </c>
    </row>
    <row r="79" spans="2:7" ht="33" x14ac:dyDescent="0.3">
      <c r="B79" s="89">
        <f t="shared" si="1"/>
        <v>59</v>
      </c>
      <c r="C79" s="57" t="s">
        <v>120</v>
      </c>
      <c r="D79" s="58">
        <v>6</v>
      </c>
      <c r="E79" s="57" t="s">
        <v>43</v>
      </c>
      <c r="F79" s="71" t="s">
        <v>229</v>
      </c>
      <c r="G79" s="90" t="s">
        <v>121</v>
      </c>
    </row>
    <row r="80" spans="2:7" ht="33" x14ac:dyDescent="0.3">
      <c r="B80" s="89">
        <f t="shared" si="1"/>
        <v>60</v>
      </c>
      <c r="C80" s="61" t="s">
        <v>153</v>
      </c>
      <c r="D80" s="60" t="s">
        <v>44</v>
      </c>
      <c r="E80" s="61" t="s">
        <v>43</v>
      </c>
      <c r="F80" s="78" t="s">
        <v>41</v>
      </c>
      <c r="G80" s="91" t="s">
        <v>49</v>
      </c>
    </row>
    <row r="81" spans="2:7" x14ac:dyDescent="0.3">
      <c r="B81" s="89">
        <f t="shared" si="1"/>
        <v>61</v>
      </c>
      <c r="C81" s="57" t="s">
        <v>159</v>
      </c>
      <c r="D81" s="55" t="s">
        <v>54</v>
      </c>
      <c r="E81" s="57" t="s">
        <v>43</v>
      </c>
      <c r="F81" s="59" t="s">
        <v>57</v>
      </c>
      <c r="G81" s="90" t="s">
        <v>58</v>
      </c>
    </row>
    <row r="82" spans="2:7" x14ac:dyDescent="0.3">
      <c r="B82" s="89">
        <f t="shared" si="1"/>
        <v>62</v>
      </c>
      <c r="C82" s="57" t="s">
        <v>162</v>
      </c>
      <c r="D82" s="55" t="s">
        <v>55</v>
      </c>
      <c r="E82" s="57" t="s">
        <v>43</v>
      </c>
      <c r="F82" s="59" t="s">
        <v>62</v>
      </c>
      <c r="G82" s="90" t="s">
        <v>177</v>
      </c>
    </row>
    <row r="83" spans="2:7" ht="49.5" x14ac:dyDescent="0.3">
      <c r="B83" s="89">
        <f t="shared" si="1"/>
        <v>63</v>
      </c>
      <c r="C83" s="57" t="s">
        <v>160</v>
      </c>
      <c r="D83" s="55" t="s">
        <v>55</v>
      </c>
      <c r="E83" s="57" t="s">
        <v>43</v>
      </c>
      <c r="F83" s="71" t="s">
        <v>225</v>
      </c>
      <c r="G83" s="90" t="s">
        <v>186</v>
      </c>
    </row>
    <row r="84" spans="2:7" ht="82.5" x14ac:dyDescent="0.3">
      <c r="B84" s="89">
        <f t="shared" ref="B84:B115" si="2">IF(C84="","",B83+1)</f>
        <v>64</v>
      </c>
      <c r="C84" s="57" t="s">
        <v>161</v>
      </c>
      <c r="D84" s="55" t="s">
        <v>55</v>
      </c>
      <c r="E84" s="57" t="s">
        <v>43</v>
      </c>
      <c r="F84" s="71" t="s">
        <v>348</v>
      </c>
      <c r="G84" s="90" t="s">
        <v>178</v>
      </c>
    </row>
    <row r="85" spans="2:7" x14ac:dyDescent="0.3">
      <c r="B85" s="89">
        <f t="shared" si="2"/>
        <v>65</v>
      </c>
      <c r="C85" s="57" t="s">
        <v>163</v>
      </c>
      <c r="D85" s="58">
        <v>5</v>
      </c>
      <c r="E85" s="57" t="s">
        <v>43</v>
      </c>
      <c r="F85" s="59" t="s">
        <v>63</v>
      </c>
      <c r="G85" s="90" t="s">
        <v>59</v>
      </c>
    </row>
    <row r="86" spans="2:7" x14ac:dyDescent="0.3">
      <c r="B86" s="89">
        <f t="shared" si="2"/>
        <v>66</v>
      </c>
      <c r="C86" s="57" t="s">
        <v>346</v>
      </c>
      <c r="D86" s="55" t="s">
        <v>19</v>
      </c>
      <c r="E86" s="57" t="s">
        <v>116</v>
      </c>
      <c r="F86" s="59" t="s">
        <v>43</v>
      </c>
      <c r="G86" s="90" t="s">
        <v>347</v>
      </c>
    </row>
    <row r="87" spans="2:7" x14ac:dyDescent="0.3">
      <c r="B87" s="89">
        <f t="shared" si="2"/>
        <v>67</v>
      </c>
      <c r="C87" s="57" t="s">
        <v>219</v>
      </c>
      <c r="D87" s="58">
        <v>2</v>
      </c>
      <c r="E87" s="57" t="s">
        <v>57</v>
      </c>
      <c r="F87" s="59" t="s">
        <v>117</v>
      </c>
      <c r="G87" s="90" t="s">
        <v>99</v>
      </c>
    </row>
    <row r="88" spans="2:7" ht="33" x14ac:dyDescent="0.3">
      <c r="B88" s="89">
        <f t="shared" si="2"/>
        <v>68</v>
      </c>
      <c r="C88" s="57" t="s">
        <v>111</v>
      </c>
      <c r="D88" s="60" t="s">
        <v>20</v>
      </c>
      <c r="E88" s="74" t="s">
        <v>222</v>
      </c>
      <c r="F88" s="59" t="s">
        <v>117</v>
      </c>
      <c r="G88" s="90" t="s">
        <v>112</v>
      </c>
    </row>
    <row r="89" spans="2:7" x14ac:dyDescent="0.3">
      <c r="B89" s="89">
        <f t="shared" si="2"/>
        <v>69</v>
      </c>
      <c r="C89" s="72" t="s">
        <v>275</v>
      </c>
      <c r="D89" s="58" t="s">
        <v>286</v>
      </c>
      <c r="E89" s="74" t="s">
        <v>291</v>
      </c>
      <c r="F89" s="74" t="s">
        <v>115</v>
      </c>
      <c r="G89" s="98" t="s">
        <v>312</v>
      </c>
    </row>
    <row r="90" spans="2:7" x14ac:dyDescent="0.3">
      <c r="B90" s="89">
        <f t="shared" si="2"/>
        <v>70</v>
      </c>
      <c r="C90" s="57" t="s">
        <v>83</v>
      </c>
      <c r="D90" s="58">
        <v>1</v>
      </c>
      <c r="E90" s="57" t="s">
        <v>57</v>
      </c>
      <c r="F90" s="62" t="s">
        <v>117</v>
      </c>
      <c r="G90" s="90" t="s">
        <v>96</v>
      </c>
    </row>
    <row r="91" spans="2:7" x14ac:dyDescent="0.3">
      <c r="B91" s="89">
        <f t="shared" si="2"/>
        <v>71</v>
      </c>
      <c r="C91" s="57" t="s">
        <v>256</v>
      </c>
      <c r="D91" s="55" t="s">
        <v>257</v>
      </c>
      <c r="E91" s="57" t="s">
        <v>258</v>
      </c>
      <c r="F91" s="59" t="s">
        <v>259</v>
      </c>
      <c r="G91" s="90" t="s">
        <v>260</v>
      </c>
    </row>
    <row r="92" spans="2:7" x14ac:dyDescent="0.3">
      <c r="B92" s="89">
        <f t="shared" si="2"/>
        <v>72</v>
      </c>
      <c r="C92" s="57" t="s">
        <v>81</v>
      </c>
      <c r="D92" s="58">
        <v>1</v>
      </c>
      <c r="E92" s="57" t="s">
        <v>57</v>
      </c>
      <c r="F92" s="59" t="s">
        <v>115</v>
      </c>
      <c r="G92" s="90" t="s">
        <v>94</v>
      </c>
    </row>
    <row r="93" spans="2:7" x14ac:dyDescent="0.3">
      <c r="B93" s="89">
        <f t="shared" si="2"/>
        <v>73</v>
      </c>
      <c r="C93" s="57" t="s">
        <v>84</v>
      </c>
      <c r="D93" s="58">
        <v>1</v>
      </c>
      <c r="E93" s="57" t="s">
        <v>57</v>
      </c>
      <c r="F93" s="62" t="s">
        <v>117</v>
      </c>
      <c r="G93" s="90" t="s">
        <v>97</v>
      </c>
    </row>
    <row r="94" spans="2:7" x14ac:dyDescent="0.3">
      <c r="B94" s="89">
        <f t="shared" si="2"/>
        <v>74</v>
      </c>
      <c r="C94" s="57" t="s">
        <v>261</v>
      </c>
      <c r="D94" s="55" t="s">
        <v>257</v>
      </c>
      <c r="E94" s="57" t="s">
        <v>258</v>
      </c>
      <c r="F94" s="59" t="s">
        <v>262</v>
      </c>
      <c r="G94" s="90" t="s">
        <v>263</v>
      </c>
    </row>
    <row r="95" spans="2:7" ht="49.5" x14ac:dyDescent="0.3">
      <c r="B95" s="89">
        <f t="shared" si="2"/>
        <v>75</v>
      </c>
      <c r="C95" s="57" t="s">
        <v>221</v>
      </c>
      <c r="D95" s="55" t="s">
        <v>20</v>
      </c>
      <c r="E95" s="57" t="s">
        <v>116</v>
      </c>
      <c r="F95" s="71" t="s">
        <v>251</v>
      </c>
      <c r="G95" s="91" t="s">
        <v>238</v>
      </c>
    </row>
    <row r="96" spans="2:7" x14ac:dyDescent="0.3">
      <c r="B96" s="89">
        <f t="shared" si="2"/>
        <v>76</v>
      </c>
      <c r="C96" s="57" t="s">
        <v>87</v>
      </c>
      <c r="D96" s="55" t="s">
        <v>19</v>
      </c>
      <c r="E96" s="57" t="s">
        <v>61</v>
      </c>
      <c r="F96" s="63" t="s">
        <v>115</v>
      </c>
      <c r="G96" s="90" t="s">
        <v>89</v>
      </c>
    </row>
    <row r="97" spans="2:7" x14ac:dyDescent="0.3">
      <c r="B97" s="89">
        <f t="shared" si="2"/>
        <v>77</v>
      </c>
      <c r="C97" s="63" t="s">
        <v>88</v>
      </c>
      <c r="D97" s="64" t="s">
        <v>19</v>
      </c>
      <c r="E97" s="57" t="s">
        <v>61</v>
      </c>
      <c r="F97" s="63" t="s">
        <v>115</v>
      </c>
      <c r="G97" s="93" t="s">
        <v>90</v>
      </c>
    </row>
    <row r="98" spans="2:7" ht="33" x14ac:dyDescent="0.3">
      <c r="B98" s="89">
        <f t="shared" si="2"/>
        <v>78</v>
      </c>
      <c r="C98" s="72" t="s">
        <v>356</v>
      </c>
      <c r="D98" s="55" t="s">
        <v>292</v>
      </c>
      <c r="E98" s="74" t="s">
        <v>293</v>
      </c>
      <c r="F98" s="74" t="s">
        <v>294</v>
      </c>
      <c r="G98" s="98" t="s">
        <v>313</v>
      </c>
    </row>
    <row r="99" spans="2:7" x14ac:dyDescent="0.3">
      <c r="B99" s="89">
        <f t="shared" si="2"/>
        <v>79</v>
      </c>
      <c r="C99" s="57" t="s">
        <v>82</v>
      </c>
      <c r="D99" s="58">
        <v>1</v>
      </c>
      <c r="E99" s="57" t="s">
        <v>57</v>
      </c>
      <c r="F99" s="59" t="s">
        <v>117</v>
      </c>
      <c r="G99" s="90" t="s">
        <v>95</v>
      </c>
    </row>
    <row r="100" spans="2:7" ht="49.5" x14ac:dyDescent="0.3">
      <c r="B100" s="89">
        <f t="shared" si="2"/>
        <v>80</v>
      </c>
      <c r="C100" s="57" t="s">
        <v>155</v>
      </c>
      <c r="D100" s="60" t="s">
        <v>45</v>
      </c>
      <c r="E100" s="57" t="s">
        <v>41</v>
      </c>
      <c r="F100" s="59" t="s">
        <v>111</v>
      </c>
      <c r="G100" s="90" t="s">
        <v>50</v>
      </c>
    </row>
    <row r="101" spans="2:7" x14ac:dyDescent="0.3">
      <c r="B101" s="89">
        <f t="shared" si="2"/>
        <v>81</v>
      </c>
      <c r="C101" s="57" t="s">
        <v>86</v>
      </c>
      <c r="D101" s="58">
        <v>1</v>
      </c>
      <c r="E101" s="57" t="s">
        <v>57</v>
      </c>
      <c r="F101" s="59" t="s">
        <v>42</v>
      </c>
      <c r="G101" s="90" t="s">
        <v>100</v>
      </c>
    </row>
    <row r="102" spans="2:7" x14ac:dyDescent="0.3">
      <c r="B102" s="89">
        <f t="shared" si="2"/>
        <v>82</v>
      </c>
      <c r="C102" s="57" t="s">
        <v>108</v>
      </c>
      <c r="D102" s="55" t="s">
        <v>19</v>
      </c>
      <c r="E102" s="57" t="s">
        <v>42</v>
      </c>
      <c r="F102" s="71" t="s">
        <v>115</v>
      </c>
      <c r="G102" s="90" t="s">
        <v>106</v>
      </c>
    </row>
    <row r="103" spans="2:7" x14ac:dyDescent="0.3">
      <c r="B103" s="89">
        <f t="shared" si="2"/>
        <v>83</v>
      </c>
      <c r="C103" s="61" t="s">
        <v>76</v>
      </c>
      <c r="D103" s="55" t="s">
        <v>20</v>
      </c>
      <c r="E103" s="61" t="s">
        <v>38</v>
      </c>
      <c r="F103" s="78" t="s">
        <v>190</v>
      </c>
      <c r="G103" s="91" t="s">
        <v>77</v>
      </c>
    </row>
    <row r="104" spans="2:7" x14ac:dyDescent="0.3">
      <c r="B104" s="89">
        <f t="shared" si="2"/>
        <v>84</v>
      </c>
      <c r="C104" s="65" t="s">
        <v>248</v>
      </c>
      <c r="D104" s="12" t="s">
        <v>20</v>
      </c>
      <c r="E104" s="65" t="s">
        <v>252</v>
      </c>
      <c r="F104" s="80" t="s">
        <v>11</v>
      </c>
      <c r="G104" s="94" t="s">
        <v>36</v>
      </c>
    </row>
    <row r="105" spans="2:7" x14ac:dyDescent="0.3">
      <c r="B105" s="89">
        <f t="shared" si="2"/>
        <v>85</v>
      </c>
      <c r="C105" s="66" t="s">
        <v>154</v>
      </c>
      <c r="D105" s="67">
        <v>1</v>
      </c>
      <c r="E105" s="66" t="s">
        <v>34</v>
      </c>
      <c r="F105" s="80" t="s">
        <v>10</v>
      </c>
      <c r="G105" s="95" t="s">
        <v>37</v>
      </c>
    </row>
    <row r="106" spans="2:7" ht="66" x14ac:dyDescent="0.3">
      <c r="B106" s="89">
        <f t="shared" si="2"/>
        <v>86</v>
      </c>
      <c r="C106" s="61" t="s">
        <v>247</v>
      </c>
      <c r="D106" s="55" t="s">
        <v>20</v>
      </c>
      <c r="E106" s="61" t="s">
        <v>34</v>
      </c>
      <c r="F106" s="78" t="s">
        <v>253</v>
      </c>
      <c r="G106" s="91" t="s">
        <v>249</v>
      </c>
    </row>
    <row r="107" spans="2:7" x14ac:dyDescent="0.3">
      <c r="B107" s="89">
        <f t="shared" si="2"/>
        <v>87</v>
      </c>
      <c r="C107" s="57" t="s">
        <v>189</v>
      </c>
      <c r="D107" s="55" t="s">
        <v>20</v>
      </c>
      <c r="E107" s="57" t="s">
        <v>190</v>
      </c>
      <c r="F107" s="59" t="s">
        <v>244</v>
      </c>
      <c r="G107" s="90" t="s">
        <v>246</v>
      </c>
    </row>
    <row r="108" spans="2:7" x14ac:dyDescent="0.3">
      <c r="B108" s="89">
        <f t="shared" si="2"/>
        <v>88</v>
      </c>
      <c r="C108" s="57" t="s">
        <v>245</v>
      </c>
      <c r="D108" s="55" t="s">
        <v>20</v>
      </c>
      <c r="E108" s="57" t="s">
        <v>244</v>
      </c>
      <c r="F108" s="59" t="s">
        <v>34</v>
      </c>
      <c r="G108" s="90" t="s">
        <v>191</v>
      </c>
    </row>
    <row r="109" spans="2:7" x14ac:dyDescent="0.3">
      <c r="B109" s="89">
        <f t="shared" si="2"/>
        <v>89</v>
      </c>
      <c r="C109" s="57" t="s">
        <v>374</v>
      </c>
      <c r="D109" s="55" t="s">
        <v>19</v>
      </c>
      <c r="E109" s="126" t="s">
        <v>365</v>
      </c>
      <c r="F109" s="126" t="s">
        <v>35</v>
      </c>
      <c r="G109" s="98" t="s">
        <v>375</v>
      </c>
    </row>
    <row r="110" spans="2:7" ht="66" x14ac:dyDescent="0.3">
      <c r="B110" s="89">
        <f>IF(C110="","",B109+1)</f>
        <v>90</v>
      </c>
      <c r="C110" s="57" t="s">
        <v>359</v>
      </c>
      <c r="D110" s="58">
        <v>1</v>
      </c>
      <c r="E110" s="57" t="s">
        <v>226</v>
      </c>
      <c r="F110" s="71" t="s">
        <v>250</v>
      </c>
      <c r="G110" s="90" t="s">
        <v>227</v>
      </c>
    </row>
    <row r="111" spans="2:7" ht="82.5" x14ac:dyDescent="0.3">
      <c r="B111" s="89">
        <f>IF(C111="","",B110+1)</f>
        <v>91</v>
      </c>
      <c r="C111" s="68" t="s">
        <v>134</v>
      </c>
      <c r="D111" s="18" t="s">
        <v>19</v>
      </c>
      <c r="E111" s="68" t="s">
        <v>118</v>
      </c>
      <c r="F111" s="81" t="s">
        <v>367</v>
      </c>
      <c r="G111" s="96" t="s">
        <v>137</v>
      </c>
    </row>
    <row r="112" spans="2:7" x14ac:dyDescent="0.3">
      <c r="B112" s="89">
        <f>IF(C112="","",B111+1)</f>
        <v>92</v>
      </c>
      <c r="C112" s="75" t="s">
        <v>276</v>
      </c>
      <c r="D112" s="76" t="s">
        <v>286</v>
      </c>
      <c r="E112" s="85" t="s">
        <v>264</v>
      </c>
      <c r="F112" s="86" t="s">
        <v>295</v>
      </c>
      <c r="G112" s="99" t="s">
        <v>314</v>
      </c>
    </row>
    <row r="113" spans="2:7" x14ac:dyDescent="0.3">
      <c r="B113" s="89">
        <f>IF(C113="","",B112+1)</f>
        <v>93</v>
      </c>
      <c r="C113" s="72" t="s">
        <v>277</v>
      </c>
      <c r="D113" s="58" t="s">
        <v>286</v>
      </c>
      <c r="E113" s="74" t="s">
        <v>264</v>
      </c>
      <c r="F113" s="74" t="s">
        <v>265</v>
      </c>
      <c r="G113" s="98" t="s">
        <v>315</v>
      </c>
    </row>
    <row r="114" spans="2:7" x14ac:dyDescent="0.3">
      <c r="B114" s="89">
        <f t="shared" si="2"/>
        <v>94</v>
      </c>
      <c r="C114" s="57" t="s">
        <v>180</v>
      </c>
      <c r="D114" s="55" t="s">
        <v>55</v>
      </c>
      <c r="E114" s="71" t="s">
        <v>118</v>
      </c>
      <c r="F114" s="71" t="s">
        <v>201</v>
      </c>
      <c r="G114" s="90" t="s">
        <v>181</v>
      </c>
    </row>
    <row r="115" spans="2:7" x14ac:dyDescent="0.3">
      <c r="B115" s="89">
        <f t="shared" si="2"/>
        <v>95</v>
      </c>
      <c r="C115" s="57" t="s">
        <v>202</v>
      </c>
      <c r="D115" s="58">
        <v>1</v>
      </c>
      <c r="E115" s="59" t="s">
        <v>118</v>
      </c>
      <c r="F115" s="71" t="s">
        <v>194</v>
      </c>
      <c r="G115" s="90" t="s">
        <v>350</v>
      </c>
    </row>
    <row r="116" spans="2:7" x14ac:dyDescent="0.3">
      <c r="B116" s="89">
        <f>IF(C116="","",B115+1)</f>
        <v>96</v>
      </c>
      <c r="C116" s="57" t="s">
        <v>230</v>
      </c>
      <c r="D116" s="58">
        <v>2</v>
      </c>
      <c r="E116" s="59" t="s">
        <v>118</v>
      </c>
      <c r="F116" s="59" t="s">
        <v>119</v>
      </c>
      <c r="G116" s="90" t="s">
        <v>231</v>
      </c>
    </row>
    <row r="117" spans="2:7" x14ac:dyDescent="0.3">
      <c r="B117" s="89">
        <f>IF(C117="","",B116+1)</f>
        <v>97</v>
      </c>
      <c r="C117" s="72" t="s">
        <v>278</v>
      </c>
      <c r="D117" s="58" t="s">
        <v>286</v>
      </c>
      <c r="E117" s="74" t="s">
        <v>264</v>
      </c>
      <c r="F117" s="74" t="s">
        <v>265</v>
      </c>
      <c r="G117" s="98" t="s">
        <v>316</v>
      </c>
    </row>
    <row r="118" spans="2:7" x14ac:dyDescent="0.3">
      <c r="B118" s="89">
        <f t="shared" ref="B118:B142" si="3">IF(C118="","",B117+1)</f>
        <v>98</v>
      </c>
      <c r="C118" s="68" t="s">
        <v>130</v>
      </c>
      <c r="D118" s="69">
        <v>1</v>
      </c>
      <c r="E118" s="68" t="s">
        <v>118</v>
      </c>
      <c r="F118" s="82" t="s">
        <v>13</v>
      </c>
      <c r="G118" s="96" t="s">
        <v>132</v>
      </c>
    </row>
    <row r="119" spans="2:7" x14ac:dyDescent="0.3">
      <c r="B119" s="89">
        <f t="shared" si="3"/>
        <v>99</v>
      </c>
      <c r="C119" s="72" t="s">
        <v>279</v>
      </c>
      <c r="D119" s="55" t="s">
        <v>290</v>
      </c>
      <c r="E119" s="74" t="s">
        <v>264</v>
      </c>
      <c r="F119" s="74" t="s">
        <v>265</v>
      </c>
      <c r="G119" s="98" t="s">
        <v>317</v>
      </c>
    </row>
    <row r="120" spans="2:7" x14ac:dyDescent="0.3">
      <c r="B120" s="89">
        <f t="shared" si="3"/>
        <v>100</v>
      </c>
      <c r="C120" s="57" t="s">
        <v>145</v>
      </c>
      <c r="D120" s="58">
        <v>1</v>
      </c>
      <c r="E120" s="59" t="s">
        <v>118</v>
      </c>
      <c r="F120" s="59" t="s">
        <v>119</v>
      </c>
      <c r="G120" s="90" t="s">
        <v>147</v>
      </c>
    </row>
    <row r="121" spans="2:7" ht="49.5" x14ac:dyDescent="0.3">
      <c r="B121" s="89">
        <f t="shared" si="3"/>
        <v>101</v>
      </c>
      <c r="C121" s="68" t="s">
        <v>131</v>
      </c>
      <c r="D121" s="69">
        <v>1</v>
      </c>
      <c r="E121" s="68" t="s">
        <v>118</v>
      </c>
      <c r="F121" s="83" t="s">
        <v>379</v>
      </c>
      <c r="G121" s="96" t="s">
        <v>133</v>
      </c>
    </row>
    <row r="122" spans="2:7" x14ac:dyDescent="0.3">
      <c r="B122" s="89">
        <f t="shared" si="3"/>
        <v>102</v>
      </c>
      <c r="C122" s="77" t="s">
        <v>280</v>
      </c>
      <c r="D122" s="18" t="s">
        <v>290</v>
      </c>
      <c r="E122" s="87" t="s">
        <v>264</v>
      </c>
      <c r="F122" s="88" t="s">
        <v>296</v>
      </c>
      <c r="G122" s="100" t="s">
        <v>318</v>
      </c>
    </row>
    <row r="123" spans="2:7" x14ac:dyDescent="0.3">
      <c r="B123" s="89">
        <f t="shared" si="3"/>
        <v>103</v>
      </c>
      <c r="C123" s="57" t="s">
        <v>236</v>
      </c>
      <c r="D123" s="55" t="s">
        <v>20</v>
      </c>
      <c r="E123" s="59" t="s">
        <v>118</v>
      </c>
      <c r="F123" s="59" t="s">
        <v>119</v>
      </c>
      <c r="G123" s="90" t="s">
        <v>239</v>
      </c>
    </row>
    <row r="124" spans="2:7" x14ac:dyDescent="0.3">
      <c r="B124" s="89">
        <f t="shared" si="3"/>
        <v>104</v>
      </c>
      <c r="C124" s="63" t="s">
        <v>138</v>
      </c>
      <c r="D124" s="64" t="s">
        <v>19</v>
      </c>
      <c r="E124" s="63" t="s">
        <v>118</v>
      </c>
      <c r="F124" s="84" t="s">
        <v>194</v>
      </c>
      <c r="G124" s="93" t="s">
        <v>139</v>
      </c>
    </row>
    <row r="125" spans="2:7" ht="49.5" x14ac:dyDescent="0.3">
      <c r="B125" s="89">
        <f t="shared" si="3"/>
        <v>105</v>
      </c>
      <c r="C125" s="57" t="s">
        <v>187</v>
      </c>
      <c r="D125" s="55" t="s">
        <v>55</v>
      </c>
      <c r="E125" s="57" t="s">
        <v>118</v>
      </c>
      <c r="F125" s="71" t="s">
        <v>371</v>
      </c>
      <c r="G125" s="90" t="s">
        <v>188</v>
      </c>
    </row>
    <row r="126" spans="2:7" ht="49.5" x14ac:dyDescent="0.3">
      <c r="B126" s="89">
        <f t="shared" si="3"/>
        <v>106</v>
      </c>
      <c r="C126" s="57" t="s">
        <v>192</v>
      </c>
      <c r="D126" s="58">
        <v>1</v>
      </c>
      <c r="E126" s="59" t="s">
        <v>118</v>
      </c>
      <c r="F126" s="71" t="s">
        <v>377</v>
      </c>
      <c r="G126" s="90" t="s">
        <v>175</v>
      </c>
    </row>
    <row r="127" spans="2:7" x14ac:dyDescent="0.3">
      <c r="B127" s="89">
        <f t="shared" si="3"/>
        <v>107</v>
      </c>
      <c r="C127" s="68" t="s">
        <v>208</v>
      </c>
      <c r="D127" s="18" t="s">
        <v>19</v>
      </c>
      <c r="E127" s="70" t="s">
        <v>194</v>
      </c>
      <c r="F127" s="82" t="s">
        <v>16</v>
      </c>
      <c r="G127" s="96" t="s">
        <v>195</v>
      </c>
    </row>
    <row r="128" spans="2:7" x14ac:dyDescent="0.3">
      <c r="B128" s="89">
        <f t="shared" si="3"/>
        <v>108</v>
      </c>
      <c r="C128" s="57" t="s">
        <v>210</v>
      </c>
      <c r="D128" s="55" t="s">
        <v>19</v>
      </c>
      <c r="E128" s="57" t="s">
        <v>118</v>
      </c>
      <c r="F128" s="57" t="s">
        <v>194</v>
      </c>
      <c r="G128" s="90" t="s">
        <v>218</v>
      </c>
    </row>
    <row r="129" spans="2:7" ht="49.5" x14ac:dyDescent="0.3">
      <c r="B129" s="89">
        <f t="shared" si="3"/>
        <v>109</v>
      </c>
      <c r="C129" s="57" t="s">
        <v>149</v>
      </c>
      <c r="D129" s="55" t="s">
        <v>19</v>
      </c>
      <c r="E129" s="57" t="s">
        <v>119</v>
      </c>
      <c r="F129" s="71" t="s">
        <v>351</v>
      </c>
      <c r="G129" s="90" t="s">
        <v>150</v>
      </c>
    </row>
    <row r="130" spans="2:7" x14ac:dyDescent="0.3">
      <c r="B130" s="89">
        <f t="shared" si="3"/>
        <v>110</v>
      </c>
      <c r="C130" s="72" t="s">
        <v>281</v>
      </c>
      <c r="D130" s="58" t="s">
        <v>286</v>
      </c>
      <c r="E130" s="74" t="s">
        <v>265</v>
      </c>
      <c r="F130" s="74" t="s">
        <v>282</v>
      </c>
      <c r="G130" s="98" t="s">
        <v>319</v>
      </c>
    </row>
    <row r="131" spans="2:7" ht="33" x14ac:dyDescent="0.3">
      <c r="B131" s="89">
        <f t="shared" si="3"/>
        <v>111</v>
      </c>
      <c r="C131" s="72" t="s">
        <v>282</v>
      </c>
      <c r="D131" s="58" t="s">
        <v>286</v>
      </c>
      <c r="E131" s="74" t="s">
        <v>297</v>
      </c>
      <c r="F131" s="74" t="s">
        <v>298</v>
      </c>
      <c r="G131" s="98" t="s">
        <v>320</v>
      </c>
    </row>
    <row r="132" spans="2:7" x14ac:dyDescent="0.3">
      <c r="B132" s="89">
        <f t="shared" si="3"/>
        <v>112</v>
      </c>
      <c r="C132" s="57" t="s">
        <v>354</v>
      </c>
      <c r="D132" s="58">
        <v>1</v>
      </c>
      <c r="E132" s="59" t="s">
        <v>119</v>
      </c>
      <c r="F132" s="59" t="s">
        <v>68</v>
      </c>
      <c r="G132" s="90" t="s">
        <v>148</v>
      </c>
    </row>
    <row r="133" spans="2:7" x14ac:dyDescent="0.3">
      <c r="B133" s="89">
        <f t="shared" si="3"/>
        <v>113</v>
      </c>
      <c r="C133" s="72" t="s">
        <v>283</v>
      </c>
      <c r="D133" s="55" t="s">
        <v>299</v>
      </c>
      <c r="E133" s="74" t="s">
        <v>300</v>
      </c>
      <c r="F133" s="74" t="s">
        <v>301</v>
      </c>
      <c r="G133" s="98" t="s">
        <v>321</v>
      </c>
    </row>
    <row r="134" spans="2:7" ht="33" x14ac:dyDescent="0.3">
      <c r="B134" s="89">
        <f t="shared" si="3"/>
        <v>114</v>
      </c>
      <c r="C134" s="57" t="s">
        <v>352</v>
      </c>
      <c r="D134" s="58">
        <v>2</v>
      </c>
      <c r="E134" s="59" t="s">
        <v>119</v>
      </c>
      <c r="F134" s="71" t="s">
        <v>376</v>
      </c>
      <c r="G134" s="90" t="s">
        <v>232</v>
      </c>
    </row>
    <row r="135" spans="2:7" x14ac:dyDescent="0.3">
      <c r="B135" s="89">
        <f t="shared" si="3"/>
        <v>115</v>
      </c>
      <c r="C135" s="72" t="s">
        <v>284</v>
      </c>
      <c r="D135" s="58" t="s">
        <v>286</v>
      </c>
      <c r="E135" s="74" t="s">
        <v>265</v>
      </c>
      <c r="F135" s="74" t="s">
        <v>300</v>
      </c>
      <c r="G135" s="98" t="s">
        <v>322</v>
      </c>
    </row>
    <row r="136" spans="2:7" x14ac:dyDescent="0.3">
      <c r="B136" s="89">
        <f t="shared" si="3"/>
        <v>116</v>
      </c>
      <c r="C136" s="72" t="s">
        <v>285</v>
      </c>
      <c r="D136" s="55" t="s">
        <v>290</v>
      </c>
      <c r="E136" s="74" t="s">
        <v>265</v>
      </c>
      <c r="F136" s="74" t="s">
        <v>300</v>
      </c>
      <c r="G136" s="98" t="s">
        <v>323</v>
      </c>
    </row>
    <row r="137" spans="2:7" ht="66" x14ac:dyDescent="0.3">
      <c r="B137" s="89">
        <f t="shared" si="3"/>
        <v>117</v>
      </c>
      <c r="C137" s="57" t="s">
        <v>166</v>
      </c>
      <c r="D137" s="55" t="s">
        <v>19</v>
      </c>
      <c r="E137" s="57" t="s">
        <v>68</v>
      </c>
      <c r="F137" s="71" t="s">
        <v>368</v>
      </c>
      <c r="G137" s="90" t="s">
        <v>369</v>
      </c>
    </row>
    <row r="138" spans="2:7" x14ac:dyDescent="0.3">
      <c r="B138" s="121">
        <f t="shared" si="3"/>
        <v>118</v>
      </c>
      <c r="C138" s="122" t="s">
        <v>237</v>
      </c>
      <c r="D138" s="127" t="s">
        <v>20</v>
      </c>
      <c r="E138" s="123" t="s">
        <v>119</v>
      </c>
      <c r="F138" s="124" t="s">
        <v>68</v>
      </c>
      <c r="G138" s="125" t="s">
        <v>240</v>
      </c>
    </row>
    <row r="139" spans="2:7" x14ac:dyDescent="0.3">
      <c r="B139" s="89">
        <f t="shared" si="3"/>
        <v>119</v>
      </c>
      <c r="C139" s="57" t="s">
        <v>233</v>
      </c>
      <c r="D139" s="55" t="s">
        <v>55</v>
      </c>
      <c r="E139" s="59" t="s">
        <v>234</v>
      </c>
      <c r="F139" s="71" t="s">
        <v>61</v>
      </c>
      <c r="G139" s="90" t="s">
        <v>235</v>
      </c>
    </row>
    <row r="140" spans="2:7" ht="66" x14ac:dyDescent="0.3">
      <c r="B140" s="89">
        <f t="shared" si="3"/>
        <v>120</v>
      </c>
      <c r="C140" s="57" t="s">
        <v>182</v>
      </c>
      <c r="D140" s="55" t="s">
        <v>55</v>
      </c>
      <c r="E140" s="57" t="s">
        <v>119</v>
      </c>
      <c r="F140" s="71" t="s">
        <v>372</v>
      </c>
      <c r="G140" s="90" t="s">
        <v>183</v>
      </c>
    </row>
    <row r="141" spans="2:7" ht="66.75" thickBot="1" x14ac:dyDescent="0.35">
      <c r="B141" s="101">
        <f t="shared" si="3"/>
        <v>121</v>
      </c>
      <c r="C141" s="116" t="s">
        <v>353</v>
      </c>
      <c r="D141" s="117">
        <v>1</v>
      </c>
      <c r="E141" s="118" t="s">
        <v>119</v>
      </c>
      <c r="F141" s="119" t="s">
        <v>378</v>
      </c>
      <c r="G141" s="120" t="s">
        <v>176</v>
      </c>
    </row>
    <row r="142" spans="2:7" x14ac:dyDescent="0.3">
      <c r="B142" s="21" t="str">
        <f t="shared" si="3"/>
        <v/>
      </c>
      <c r="C142"/>
      <c r="D142"/>
      <c r="E142" s="54"/>
      <c r="F142" s="54"/>
      <c r="G142" s="54"/>
    </row>
  </sheetData>
  <autoFilter ref="C20:G141" xr:uid="{00000000-0009-0000-0000-000000000000}">
    <sortState xmlns:xlrd2="http://schemas.microsoft.com/office/spreadsheetml/2017/richdata2" ref="C21:G142">
      <sortCondition ref="C20:C141"/>
    </sortState>
  </autoFilter>
  <mergeCells count="2">
    <mergeCell ref="B2:G2"/>
    <mergeCell ref="B19:G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강종현</dc:creator>
  <cp:lastModifiedBy>강종현</cp:lastModifiedBy>
  <dcterms:created xsi:type="dcterms:W3CDTF">2026-02-25T13:36:19Z</dcterms:created>
  <dcterms:modified xsi:type="dcterms:W3CDTF">2026-10-05T06:46:41Z</dcterms:modified>
</cp:coreProperties>
</file>