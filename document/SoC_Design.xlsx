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7284A65F-E4EA-4C73-A72B-4F90271D25E8}" xr6:coauthVersionLast="47" xr6:coauthVersionMax="47" xr10:uidLastSave="{00000000-0000-0000-0000-000000000000}"/>
  <bookViews>
    <workbookView xWindow="-120" yWindow="-120" windowWidth="29040" windowHeight="15720" activeTab="5" xr2:uid="{813C5046-60F0-40FF-AAC7-48B46C31F73B}"/>
  </bookViews>
  <sheets>
    <sheet name="TASK" sheetId="1" r:id="rId1"/>
    <sheet name="오류사항분석" sheetId="2" r:id="rId2"/>
    <sheet name="MemoryMap" sheetId="4" r:id="rId3"/>
    <sheet name="교안참고" sheetId="3" r:id="rId4"/>
    <sheet name="미구현명령어 정리" sheetId="5" r:id="rId5"/>
    <sheet name="opcode 해석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6" l="1"/>
  <c r="J14" i="6"/>
  <c r="K13" i="6"/>
  <c r="K12" i="6"/>
  <c r="B8" i="6"/>
  <c r="B9" i="6" s="1"/>
  <c r="B10" i="6" s="1"/>
  <c r="C7" i="6"/>
  <c r="K11" i="6"/>
  <c r="J10" i="6"/>
  <c r="K10" i="6" s="1"/>
  <c r="J9" i="6"/>
  <c r="K9" i="6" s="1"/>
  <c r="B14" i="5"/>
  <c r="B13" i="5"/>
  <c r="B12" i="5"/>
  <c r="B11" i="5"/>
  <c r="B10" i="5"/>
  <c r="B9" i="5"/>
  <c r="B6" i="5"/>
  <c r="B7" i="5" s="1"/>
  <c r="B8" i="5" s="1"/>
  <c r="B5" i="5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C8" i="6" l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C10" i="6"/>
  <c r="B5" i="1"/>
  <c r="B6" i="1" s="1"/>
  <c r="B7" i="1" s="1"/>
  <c r="C60" i="6" l="1"/>
  <c r="B61" i="6"/>
  <c r="C61" i="6" s="1"/>
  <c r="C9" i="6"/>
  <c r="B62" i="6" l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B299" i="6" s="1"/>
  <c r="B300" i="6" l="1"/>
  <c r="C11" i="6"/>
  <c r="B301" i="6" l="1"/>
  <c r="C300" i="6"/>
  <c r="C12" i="6"/>
  <c r="C301" i="6" l="1"/>
  <c r="B302" i="6"/>
  <c r="C13" i="6"/>
  <c r="C302" i="6" l="1"/>
  <c r="B303" i="6"/>
  <c r="B304" i="6" s="1"/>
  <c r="B305" i="6" s="1"/>
  <c r="B306" i="6" s="1"/>
  <c r="B307" i="6" s="1"/>
  <c r="B308" i="6" s="1"/>
  <c r="B309" i="6" s="1"/>
  <c r="C14" i="6"/>
  <c r="B310" i="6" l="1"/>
  <c r="C15" i="6"/>
  <c r="B311" i="6" l="1"/>
  <c r="C310" i="6"/>
  <c r="C16" i="6"/>
  <c r="B312" i="6" l="1"/>
  <c r="C311" i="6"/>
  <c r="C17" i="6"/>
  <c r="B313" i="6" l="1"/>
  <c r="C312" i="6"/>
  <c r="C18" i="6"/>
  <c r="B314" i="6" l="1"/>
  <c r="C313" i="6"/>
  <c r="C19" i="6"/>
  <c r="C314" i="6" l="1"/>
  <c r="B315" i="6"/>
  <c r="B316" i="6" s="1"/>
  <c r="B317" i="6" s="1"/>
  <c r="B318" i="6" s="1"/>
  <c r="B319" i="6" s="1"/>
  <c r="B320" i="6" s="1"/>
  <c r="B321" i="6" s="1"/>
  <c r="B322" i="6" s="1"/>
  <c r="B323" i="6" s="1"/>
  <c r="B324" i="6" s="1"/>
  <c r="B325" i="6" s="1"/>
  <c r="B326" i="6" s="1"/>
  <c r="B327" i="6" s="1"/>
  <c r="B328" i="6" s="1"/>
  <c r="B329" i="6" s="1"/>
  <c r="B330" i="6" s="1"/>
  <c r="C20" i="6"/>
  <c r="C21" i="6" l="1"/>
  <c r="C22" i="6" l="1"/>
  <c r="C23" i="6" l="1"/>
  <c r="C24" i="6" l="1"/>
  <c r="C25" i="6" l="1"/>
  <c r="C26" i="6" l="1"/>
  <c r="C27" i="6" l="1"/>
  <c r="C28" i="6" l="1"/>
  <c r="C29" i="6" l="1"/>
  <c r="C30" i="6" l="1"/>
  <c r="C31" i="6" l="1"/>
  <c r="C32" i="6" l="1"/>
  <c r="C33" i="6" l="1"/>
  <c r="C34" i="6" l="1"/>
  <c r="C35" i="6" l="1"/>
  <c r="C36" i="6" l="1"/>
  <c r="C37" i="6" l="1"/>
  <c r="C38" i="6" l="1"/>
  <c r="C39" i="6" l="1"/>
  <c r="C40" i="6" l="1"/>
  <c r="C41" i="6" l="1"/>
  <c r="C42" i="6" l="1"/>
  <c r="C43" i="6" l="1"/>
  <c r="C44" i="6" l="1"/>
  <c r="C45" i="6" l="1"/>
  <c r="C46" i="6" l="1"/>
  <c r="C47" i="6" l="1"/>
  <c r="C48" i="6" l="1"/>
  <c r="C49" i="6" l="1"/>
  <c r="C50" i="6" l="1"/>
  <c r="C51" i="6" l="1"/>
  <c r="C52" i="6" l="1"/>
  <c r="C53" i="6" l="1"/>
  <c r="C54" i="6" l="1"/>
  <c r="C55" i="6" l="1"/>
  <c r="C56" i="6" l="1"/>
  <c r="C57" i="6" l="1"/>
  <c r="C58" i="6" l="1"/>
  <c r="C59" i="6" l="1"/>
  <c r="C62" i="6" l="1"/>
  <c r="C63" i="6" l="1"/>
  <c r="C64" i="6" l="1"/>
  <c r="C65" i="6" l="1"/>
  <c r="C66" i="6" l="1"/>
  <c r="C67" i="6" l="1"/>
  <c r="C68" i="6" l="1"/>
  <c r="C69" i="6" l="1"/>
  <c r="C70" i="6" l="1"/>
  <c r="C71" i="6" l="1"/>
  <c r="C72" i="6" l="1"/>
  <c r="C73" i="6" l="1"/>
  <c r="C74" i="6" l="1"/>
  <c r="C75" i="6" l="1"/>
  <c r="C76" i="6" l="1"/>
  <c r="C77" i="6" l="1"/>
  <c r="C78" i="6" l="1"/>
  <c r="C79" i="6" l="1"/>
  <c r="C80" i="6" l="1"/>
  <c r="C81" i="6" l="1"/>
  <c r="C82" i="6" l="1"/>
  <c r="C83" i="6" l="1"/>
  <c r="C84" i="6" l="1"/>
  <c r="C85" i="6" l="1"/>
  <c r="C86" i="6" l="1"/>
  <c r="C87" i="6" l="1"/>
  <c r="C88" i="6" l="1"/>
  <c r="C89" i="6" l="1"/>
  <c r="C90" i="6" l="1"/>
  <c r="C91" i="6" l="1"/>
  <c r="C92" i="6" l="1"/>
  <c r="C93" i="6" l="1"/>
  <c r="C94" i="6" l="1"/>
  <c r="C95" i="6" l="1"/>
  <c r="C96" i="6" l="1"/>
  <c r="C97" i="6" l="1"/>
  <c r="C98" i="6" l="1"/>
  <c r="C99" i="6" l="1"/>
  <c r="C100" i="6" l="1"/>
  <c r="C101" i="6" l="1"/>
  <c r="C102" i="6" l="1"/>
  <c r="C103" i="6" l="1"/>
  <c r="C104" i="6" l="1"/>
  <c r="C105" i="6" l="1"/>
  <c r="C106" i="6" l="1"/>
  <c r="C107" i="6" l="1"/>
  <c r="C108" i="6" l="1"/>
  <c r="C109" i="6" l="1"/>
  <c r="C110" i="6" l="1"/>
  <c r="C111" i="6" l="1"/>
  <c r="C112" i="6" l="1"/>
  <c r="C113" i="6" l="1"/>
  <c r="C114" i="6" l="1"/>
  <c r="C115" i="6" l="1"/>
  <c r="C116" i="6" l="1"/>
  <c r="C117" i="6" l="1"/>
  <c r="C118" i="6" l="1"/>
  <c r="C119" i="6" l="1"/>
  <c r="C120" i="6" l="1"/>
  <c r="C121" i="6" l="1"/>
  <c r="C122" i="6" l="1"/>
  <c r="C123" i="6" l="1"/>
  <c r="C124" i="6" l="1"/>
  <c r="C125" i="6" l="1"/>
  <c r="C126" i="6" l="1"/>
  <c r="C127" i="6" l="1"/>
  <c r="C128" i="6" l="1"/>
  <c r="C129" i="6" l="1"/>
  <c r="C130" i="6" l="1"/>
  <c r="C131" i="6" l="1"/>
  <c r="C132" i="6" l="1"/>
  <c r="C133" i="6" l="1"/>
  <c r="C134" i="6" l="1"/>
  <c r="C135" i="6" l="1"/>
  <c r="C136" i="6" l="1"/>
  <c r="C137" i="6" l="1"/>
  <c r="C138" i="6" l="1"/>
  <c r="C139" i="6" l="1"/>
  <c r="C140" i="6" l="1"/>
  <c r="C141" i="6" l="1"/>
  <c r="C142" i="6" l="1"/>
  <c r="C143" i="6" l="1"/>
  <c r="C144" i="6" l="1"/>
  <c r="C145" i="6" l="1"/>
  <c r="C146" i="6" l="1"/>
  <c r="C147" i="6" l="1"/>
  <c r="C148" i="6" l="1"/>
  <c r="C149" i="6" l="1"/>
  <c r="C150" i="6" l="1"/>
  <c r="C151" i="6" l="1"/>
  <c r="C152" i="6" l="1"/>
  <c r="C153" i="6" l="1"/>
  <c r="C154" i="6" l="1"/>
  <c r="C155" i="6" l="1"/>
  <c r="C156" i="6" l="1"/>
  <c r="C157" i="6" l="1"/>
  <c r="C158" i="6" l="1"/>
  <c r="C159" i="6" l="1"/>
  <c r="C160" i="6" l="1"/>
  <c r="C161" i="6" l="1"/>
  <c r="C162" i="6" l="1"/>
  <c r="C163" i="6" l="1"/>
  <c r="C164" i="6" l="1"/>
  <c r="C165" i="6" l="1"/>
  <c r="C166" i="6" l="1"/>
  <c r="C167" i="6" l="1"/>
  <c r="C168" i="6" l="1"/>
  <c r="C169" i="6" l="1"/>
  <c r="C170" i="6" l="1"/>
  <c r="C171" i="6" l="1"/>
  <c r="C172" i="6" l="1"/>
  <c r="C173" i="6" l="1"/>
  <c r="C174" i="6" l="1"/>
  <c r="C175" i="6" l="1"/>
  <c r="C176" i="6" l="1"/>
  <c r="C177" i="6" l="1"/>
  <c r="C178" i="6" l="1"/>
  <c r="C179" i="6" l="1"/>
  <c r="C180" i="6" l="1"/>
  <c r="C181" i="6" l="1"/>
  <c r="C182" i="6" l="1"/>
  <c r="C183" i="6" l="1"/>
  <c r="C184" i="6" l="1"/>
  <c r="C185" i="6" l="1"/>
  <c r="C186" i="6" l="1"/>
  <c r="C187" i="6" l="1"/>
  <c r="C188" i="6" l="1"/>
  <c r="C189" i="6" l="1"/>
  <c r="C190" i="6" l="1"/>
  <c r="C191" i="6" l="1"/>
  <c r="C192" i="6" l="1"/>
  <c r="C193" i="6" l="1"/>
  <c r="C194" i="6" l="1"/>
  <c r="C195" i="6" l="1"/>
  <c r="C196" i="6" l="1"/>
  <c r="C197" i="6" l="1"/>
  <c r="C198" i="6" l="1"/>
  <c r="C199" i="6" l="1"/>
  <c r="C200" i="6" l="1"/>
  <c r="C201" i="6" l="1"/>
  <c r="C202" i="6" l="1"/>
  <c r="C203" i="6" l="1"/>
  <c r="C204" i="6" l="1"/>
  <c r="C205" i="6" l="1"/>
  <c r="C206" i="6" l="1"/>
  <c r="C207" i="6" l="1"/>
  <c r="C208" i="6" l="1"/>
  <c r="C209" i="6" l="1"/>
  <c r="C210" i="6" l="1"/>
  <c r="C211" i="6" l="1"/>
  <c r="C212" i="6" l="1"/>
  <c r="C213" i="6" l="1"/>
  <c r="C214" i="6" l="1"/>
  <c r="C215" i="6" l="1"/>
  <c r="C216" i="6" l="1"/>
  <c r="C217" i="6" l="1"/>
  <c r="C218" i="6" l="1"/>
  <c r="C219" i="6" l="1"/>
  <c r="C220" i="6" l="1"/>
  <c r="C221" i="6" l="1"/>
  <c r="C222" i="6" l="1"/>
  <c r="C223" i="6" l="1"/>
  <c r="C224" i="6" l="1"/>
  <c r="C225" i="6" l="1"/>
  <c r="C226" i="6" l="1"/>
  <c r="C227" i="6" l="1"/>
  <c r="C228" i="6" l="1"/>
  <c r="C229" i="6" l="1"/>
  <c r="C230" i="6" l="1"/>
  <c r="C231" i="6" l="1"/>
  <c r="C232" i="6" l="1"/>
  <c r="C233" i="6" l="1"/>
  <c r="C234" i="6" l="1"/>
  <c r="C235" i="6" l="1"/>
  <c r="C236" i="6" l="1"/>
  <c r="C237" i="6" l="1"/>
  <c r="C238" i="6" l="1"/>
  <c r="C239" i="6" l="1"/>
  <c r="C240" i="6" l="1"/>
  <c r="C241" i="6" l="1"/>
  <c r="C242" i="6" l="1"/>
  <c r="C243" i="6" l="1"/>
  <c r="C244" i="6" l="1"/>
  <c r="C245" i="6" l="1"/>
  <c r="C246" i="6" l="1"/>
  <c r="C247" i="6" l="1"/>
  <c r="C248" i="6" l="1"/>
  <c r="C249" i="6" l="1"/>
  <c r="C250" i="6" l="1"/>
  <c r="C251" i="6" l="1"/>
  <c r="C252" i="6" l="1"/>
  <c r="C253" i="6" l="1"/>
  <c r="C254" i="6" l="1"/>
  <c r="C255" i="6" l="1"/>
  <c r="C256" i="6" l="1"/>
  <c r="C257" i="6" l="1"/>
  <c r="C258" i="6" l="1"/>
  <c r="C259" i="6" l="1"/>
  <c r="C260" i="6" l="1"/>
  <c r="C261" i="6" l="1"/>
  <c r="C262" i="6" l="1"/>
  <c r="C263" i="6" l="1"/>
  <c r="C264" i="6" l="1"/>
  <c r="C265" i="6" l="1"/>
  <c r="C266" i="6" l="1"/>
  <c r="C267" i="6" l="1"/>
  <c r="C268" i="6" l="1"/>
  <c r="C269" i="6" l="1"/>
  <c r="C270" i="6" l="1"/>
  <c r="C271" i="6" l="1"/>
  <c r="C272" i="6" l="1"/>
  <c r="C273" i="6" l="1"/>
  <c r="C274" i="6" l="1"/>
  <c r="C275" i="6" l="1"/>
  <c r="C276" i="6" l="1"/>
  <c r="C277" i="6" l="1"/>
  <c r="C278" i="6" l="1"/>
  <c r="C279" i="6" l="1"/>
  <c r="C280" i="6" l="1"/>
  <c r="C281" i="6" l="1"/>
  <c r="C282" i="6" l="1"/>
  <c r="C283" i="6" l="1"/>
  <c r="C284" i="6" l="1"/>
  <c r="C285" i="6" l="1"/>
  <c r="C286" i="6" l="1"/>
  <c r="C287" i="6" l="1"/>
  <c r="C288" i="6" l="1"/>
  <c r="C289" i="6" l="1"/>
  <c r="C290" i="6" l="1"/>
  <c r="C291" i="6" l="1"/>
  <c r="C292" i="6" l="1"/>
  <c r="C293" i="6" l="1"/>
  <c r="C294" i="6" l="1"/>
  <c r="C295" i="6" l="1"/>
  <c r="C296" i="6" l="1"/>
  <c r="C297" i="6" l="1"/>
  <c r="C298" i="6" l="1"/>
  <c r="C299" i="6" l="1"/>
  <c r="C303" i="6" l="1"/>
  <c r="C304" i="6" l="1"/>
  <c r="C305" i="6" l="1"/>
  <c r="C306" i="6" l="1"/>
  <c r="C307" i="6" l="1"/>
  <c r="C308" i="6" l="1"/>
  <c r="C309" i="6" l="1"/>
  <c r="C315" i="6" l="1"/>
  <c r="C316" i="6" l="1"/>
  <c r="C317" i="6" l="1"/>
  <c r="C318" i="6" l="1"/>
  <c r="C319" i="6" l="1"/>
  <c r="C320" i="6" l="1"/>
  <c r="C321" i="6" l="1"/>
  <c r="C322" i="6" l="1"/>
  <c r="C323" i="6" l="1"/>
  <c r="C324" i="6" l="1"/>
  <c r="C325" i="6" l="1"/>
  <c r="C326" i="6" l="1"/>
  <c r="C327" i="6" l="1"/>
  <c r="C328" i="6" l="1"/>
  <c r="C330" i="6" l="1"/>
  <c r="C329" i="6"/>
</calcChain>
</file>

<file path=xl/sharedStrings.xml><?xml version="1.0" encoding="utf-8"?>
<sst xmlns="http://schemas.openxmlformats.org/spreadsheetml/2006/main" count="827" uniqueCount="457">
  <si>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</si>
  <si>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</si>
  <si>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</si>
  <si>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</si>
  <si>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</si>
  <si>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</si>
  <si>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</si>
  <si>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</si>
  <si>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</si>
  <si>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</si>
  <si>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</si>
  <si>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</si>
  <si>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</si>
  <si>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</si>
  <si>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</si>
  <si>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</si>
  <si>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</si>
  <si>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</si>
  <si>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</si>
  <si>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</si>
  <si>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</si>
  <si>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</si>
  <si>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</si>
  <si>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</si>
  <si>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</si>
  <si>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</si>
  <si>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</si>
  <si>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</si>
  <si>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</si>
  <si>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</si>
  <si>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</si>
  <si>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</si>
  <si>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</si>
  <si>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</si>
  <si>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</si>
  <si>
    <t>GPIO</t>
    <phoneticPr fontId="1" type="noConversion"/>
  </si>
  <si>
    <t>TIMER</t>
    <phoneticPr fontId="1" type="noConversion"/>
  </si>
  <si>
    <t>UART</t>
    <phoneticPr fontId="1" type="noConversion"/>
  </si>
  <si>
    <t>SPI</t>
    <phoneticPr fontId="1" type="noConversion"/>
  </si>
  <si>
    <t>DMA</t>
    <phoneticPr fontId="1" type="noConversion"/>
  </si>
  <si>
    <t>Interrupt Controller</t>
    <phoneticPr fontId="1" type="noConversion"/>
  </si>
  <si>
    <t>Device</t>
    <phoneticPr fontId="1" type="noConversion"/>
  </si>
  <si>
    <t>BOOT ROM</t>
    <phoneticPr fontId="1" type="noConversion"/>
  </si>
  <si>
    <t>ADDR RANGE</t>
    <phoneticPr fontId="1" type="noConversion"/>
  </si>
  <si>
    <t>I2C</t>
    <phoneticPr fontId="1" type="noConversion"/>
  </si>
  <si>
    <t>0x0000_0000</t>
    <phoneticPr fontId="1" type="noConversion"/>
  </si>
  <si>
    <t>0x00D0_A000</t>
    <phoneticPr fontId="1" type="noConversion"/>
  </si>
  <si>
    <t>0x00D0_AFFF</t>
    <phoneticPr fontId="1" type="noConversion"/>
  </si>
  <si>
    <t>0x00D0_B000</t>
    <phoneticPr fontId="1" type="noConversion"/>
  </si>
  <si>
    <t>0x00D0_BFFF</t>
    <phoneticPr fontId="1" type="noConversion"/>
  </si>
  <si>
    <t>0x00D0_C000</t>
    <phoneticPr fontId="1" type="noConversion"/>
  </si>
  <si>
    <t>0x00D0_CFFF</t>
    <phoneticPr fontId="1" type="noConversion"/>
  </si>
  <si>
    <t>0x00D0_D000</t>
    <phoneticPr fontId="1" type="noConversion"/>
  </si>
  <si>
    <t>0x00D0_DFFF</t>
    <phoneticPr fontId="1" type="noConversion"/>
  </si>
  <si>
    <t>0x00D0_E000</t>
    <phoneticPr fontId="1" type="noConversion"/>
  </si>
  <si>
    <t>0x00D_0EFFF</t>
    <phoneticPr fontId="1" type="noConversion"/>
  </si>
  <si>
    <t>BUS</t>
    <phoneticPr fontId="1" type="noConversion"/>
  </si>
  <si>
    <t>AXI</t>
    <phoneticPr fontId="1" type="noConversion"/>
  </si>
  <si>
    <t>APB</t>
    <phoneticPr fontId="1" type="noConversion"/>
  </si>
  <si>
    <t>AHB</t>
    <phoneticPr fontId="1" type="noConversion"/>
  </si>
  <si>
    <t>TBD</t>
    <phoneticPr fontId="1" type="noConversion"/>
  </si>
  <si>
    <t>0x1000_0000</t>
    <phoneticPr fontId="1" type="noConversion"/>
  </si>
  <si>
    <t>0x1000_FFFF</t>
    <phoneticPr fontId="1" type="noConversion"/>
  </si>
  <si>
    <t>0x2000_0000</t>
    <phoneticPr fontId="1" type="noConversion"/>
  </si>
  <si>
    <t>0x2FFFF_FFFF</t>
    <phoneticPr fontId="1" type="noConversion"/>
  </si>
  <si>
    <t>0x3000_0000</t>
    <phoneticPr fontId="1" type="noConversion"/>
  </si>
  <si>
    <t>0x0000_03FF</t>
    <phoneticPr fontId="1" type="noConversion"/>
  </si>
  <si>
    <t>0x7FFF_FFFF</t>
    <phoneticPr fontId="1" type="noConversion"/>
  </si>
  <si>
    <t>0x8000_000</t>
    <phoneticPr fontId="1" type="noConversion"/>
  </si>
  <si>
    <t>0xFFFF_FFF</t>
    <phoneticPr fontId="1" type="noConversion"/>
  </si>
  <si>
    <t>AUX MEMORY</t>
    <phoneticPr fontId="1" type="noConversion"/>
  </si>
  <si>
    <t>MAIN MEMORY</t>
    <phoneticPr fontId="1" type="noConversion"/>
  </si>
  <si>
    <t>CACHE MEMORY</t>
    <phoneticPr fontId="1" type="noConversion"/>
  </si>
  <si>
    <t>명령어</t>
    <phoneticPr fontId="1" type="noConversion"/>
  </si>
  <si>
    <t>구분방법</t>
    <phoneticPr fontId="1" type="noConversion"/>
  </si>
  <si>
    <t>bgezal</t>
    <phoneticPr fontId="1" type="noConversion"/>
  </si>
  <si>
    <t>opcode = 6'b000001 (REGIMM), rt = 5'b1001</t>
    <phoneticPr fontId="1" type="noConversion"/>
  </si>
  <si>
    <t>bltz</t>
    <phoneticPr fontId="1" type="noConversion"/>
  </si>
  <si>
    <t>bgez</t>
    <phoneticPr fontId="1" type="noConversion"/>
  </si>
  <si>
    <t>bltzal</t>
    <phoneticPr fontId="1" type="noConversion"/>
  </si>
  <si>
    <t>opcode = 6'b000001 (REGIMM), rt = 5'b0000</t>
    <phoneticPr fontId="1" type="noConversion"/>
  </si>
  <si>
    <t>opcode = 6'b000001 (REGIMM), rt = 5'b0001</t>
    <phoneticPr fontId="1" type="noConversion"/>
  </si>
  <si>
    <t>opcode = 6'b000001 (REGIMM), rt = 5'b1000</t>
    <phoneticPr fontId="1" type="noConversion"/>
  </si>
  <si>
    <t>Branch on Greater Than or Equal to Zero (&gt;= 0)</t>
    <phoneticPr fontId="1" type="noConversion"/>
  </si>
  <si>
    <t>Branch on Less Than Zero (&lt; 0)</t>
    <phoneticPr fontId="1" type="noConversion"/>
  </si>
  <si>
    <t>Branch on Less Than Zero (&lt; 0) And Link ($ra &lt;= PC)</t>
    <phoneticPr fontId="1" type="noConversion"/>
  </si>
  <si>
    <t>Branch on Greater Than or Equal to Zero (&gt;= 0) And Link ($ra &lt;= PC)</t>
    <phoneticPr fontId="1" type="noConversion"/>
  </si>
  <si>
    <t>jalr</t>
    <phoneticPr fontId="1" type="noConversion"/>
  </si>
  <si>
    <t>Jump and Link Register</t>
    <phoneticPr fontId="1" type="noConversion"/>
  </si>
  <si>
    <t>opcode = 6'b000000, funct_code = 6'b0001001</t>
    <phoneticPr fontId="1" type="noConversion"/>
  </si>
  <si>
    <t>verilogHDL</t>
    <phoneticPr fontId="1" type="noConversion"/>
  </si>
  <si>
    <t>C</t>
    <phoneticPr fontId="1" type="noConversion"/>
  </si>
  <si>
    <t>X</t>
    <phoneticPr fontId="1" type="noConversion"/>
  </si>
  <si>
    <t>O</t>
    <phoneticPr fontId="1" type="noConversion"/>
  </si>
  <si>
    <t>정의(동작)</t>
    <phoneticPr fontId="1" type="noConversion"/>
  </si>
  <si>
    <t>구현 유무</t>
    <phoneticPr fontId="1" type="noConversion"/>
  </si>
  <si>
    <t>lbu</t>
    <phoneticPr fontId="1" type="noConversion"/>
  </si>
  <si>
    <t>lb</t>
    <phoneticPr fontId="1" type="noConversion"/>
  </si>
  <si>
    <t>Load Byte Unsigned (opcode-rs-rt-imm &lt;=&gt; lbu rt, imm(rs)) (zero-extend)</t>
    <phoneticPr fontId="1" type="noConversion"/>
  </si>
  <si>
    <t>Load Byte (opcode-rs-rt-imm &lt;=&gt; lb rt, imm(rs)) (sign-extend)</t>
    <phoneticPr fontId="1" type="noConversion"/>
  </si>
  <si>
    <t>opcode = 6'b100000</t>
    <phoneticPr fontId="1" type="noConversion"/>
  </si>
  <si>
    <t>opcode = 6'b100100</t>
    <phoneticPr fontId="1" type="noConversion"/>
  </si>
  <si>
    <t>lhu</t>
    <phoneticPr fontId="1" type="noConversion"/>
  </si>
  <si>
    <t>lh</t>
    <phoneticPr fontId="1" type="noConversion"/>
  </si>
  <si>
    <t>sb</t>
    <phoneticPr fontId="1" type="noConversion"/>
  </si>
  <si>
    <t>sh</t>
    <phoneticPr fontId="1" type="noConversion"/>
  </si>
  <si>
    <t>Load Half-Word Unsigned (opcode-rs-rt-imm &lt;=&gt; lhu rt, imm(rs)) (zero-extend)</t>
    <phoneticPr fontId="1" type="noConversion"/>
  </si>
  <si>
    <t>Load Half-Word (opcode-rs-rt-imm &lt;=&gt; lh rt, imm(rs)) (sign-extend)</t>
    <phoneticPr fontId="1" type="noConversion"/>
  </si>
  <si>
    <t>opcode = 6'b100001</t>
    <phoneticPr fontId="1" type="noConversion"/>
  </si>
  <si>
    <t>opcode = 6'b100101</t>
    <phoneticPr fontId="1" type="noConversion"/>
  </si>
  <si>
    <t>Stroe Half-Word (opcode-rs-rt-imm &lt;=&gt; sh rt, imm(rs))</t>
    <phoneticPr fontId="1" type="noConversion"/>
  </si>
  <si>
    <t>Store Byte (opcode-rs-rt-imm &lt;=&gt; sb rt, imm(rs))</t>
    <phoneticPr fontId="1" type="noConversion"/>
  </si>
  <si>
    <t>lui $gp, $zero, 2</t>
  </si>
  <si>
    <t>addiu $gp, $gp, -29876</t>
  </si>
  <si>
    <t>addu $gp, $gp, $t9</t>
  </si>
  <si>
    <t>addiu $sp, $sp, -32</t>
  </si>
  <si>
    <t>sw $gp, 16($sp)</t>
  </si>
  <si>
    <t>sw $ra, 28($sp)</t>
  </si>
  <si>
    <t>lw $v0, -32720($gp)</t>
  </si>
  <si>
    <t>beq $v0, $zero, 4</t>
  </si>
  <si>
    <t>nop</t>
  </si>
  <si>
    <t>lw $t9, -32720($gp)</t>
  </si>
  <si>
    <t>jalr $t9</t>
  </si>
  <si>
    <t>bgezal $zero, 1</t>
  </si>
  <si>
    <t>lui $gp, $zero, 66</t>
  </si>
  <si>
    <t>addiu $gp, $gp, -28624</t>
  </si>
  <si>
    <t>lw $t9, -32740($gp)</t>
  </si>
  <si>
    <t>addiu $t9, $t9, 1780</t>
  </si>
  <si>
    <t>addiu $t9, $t9, 2336</t>
  </si>
  <si>
    <t>lw $ra, 28($sp)</t>
  </si>
  <si>
    <t>jr $ra</t>
  </si>
  <si>
    <t>addiu $sp, $sp, 32</t>
  </si>
  <si>
    <t>or $zero, $ra, $zero</t>
  </si>
  <si>
    <t>addiu $gp, $gp, -30012</t>
  </si>
  <si>
    <t>addu $gp, $gp, $ra</t>
  </si>
  <si>
    <t>or $ra, $zero, $zero</t>
  </si>
  <si>
    <t>lw $a0, -32744($gp)</t>
  </si>
  <si>
    <t>lw $a1, 0($sp)</t>
  </si>
  <si>
    <t>addiu $a2, $sp, 4</t>
  </si>
  <si>
    <t>addiu $at, $zero, -8</t>
  </si>
  <si>
    <t>and $sp, $sp, $at</t>
  </si>
  <si>
    <t>or $a3, $zero, $zero</t>
  </si>
  <si>
    <t>sw $zero, 16($sp)</t>
  </si>
  <si>
    <t>sw $v0, 20($sp)</t>
  </si>
  <si>
    <t>sw $sp, 24($sp)</t>
  </si>
  <si>
    <t>lw $t9, -32708($gp)</t>
  </si>
  <si>
    <t>beq $zero, $zero, -1</t>
  </si>
  <si>
    <t>lui $a0, $zero, 65</t>
  </si>
  <si>
    <t>lui $v0, $zero, 65</t>
  </si>
  <si>
    <t>addiu $a0, $a0, 4148</t>
  </si>
  <si>
    <t>addiu $v0, $v0, 4148</t>
  </si>
  <si>
    <t>beq $v0, $a0, 7</t>
  </si>
  <si>
    <t>lw $t9, -32712($gp)</t>
  </si>
  <si>
    <t>beq $t9, $zero, 3</t>
  </si>
  <si>
    <t>jr $t9</t>
  </si>
  <si>
    <t>addiu $a1, $v0, 4148</t>
  </si>
  <si>
    <t>subu $a1, $a1, $a0</t>
  </si>
  <si>
    <t>sra $v0, $a1, 2</t>
  </si>
  <si>
    <t>srl $a1, $a1, 31</t>
  </si>
  <si>
    <t>addu $a1, $a1, $v0</t>
  </si>
  <si>
    <t>sra $a1, $a1, 1</t>
  </si>
  <si>
    <t>beq $a1, $zero, 7</t>
  </si>
  <si>
    <t>lw $t9, -32724($gp)</t>
  </si>
  <si>
    <t>addiu $sp, $sp, -48</t>
  </si>
  <si>
    <t>sw $s3, 40($sp)</t>
  </si>
  <si>
    <t>lui $s3, $zero, 65</t>
  </si>
  <si>
    <t>sw $ra, 44($sp)</t>
  </si>
  <si>
    <t>sw $s2, 36($sp)</t>
  </si>
  <si>
    <t>sw $s1, 32($sp)</t>
  </si>
  <si>
    <t>sw $s0, 28($sp)</t>
  </si>
  <si>
    <t>lbu $v0, 4224($s3)</t>
  </si>
  <si>
    <t>bne $v0, $zero, 28</t>
  </si>
  <si>
    <t>lui $s1, $zero, 65</t>
  </si>
  <si>
    <t>addiu $s1, $s1, 4092</t>
  </si>
  <si>
    <t>addiu $v0, $v0, 4088</t>
  </si>
  <si>
    <t>lui $s0, $zero, 65</t>
  </si>
  <si>
    <t>subu $s1, $s1, $v0</t>
  </si>
  <si>
    <t>sra $s1, $s1, 2</t>
  </si>
  <si>
    <t>addiu $s2, $v0, 4088</t>
  </si>
  <si>
    <t>lw $v0, 4228($s0)</t>
  </si>
  <si>
    <t>addiu $s1, $s1, -1</t>
  </si>
  <si>
    <t>sltu $v1, $v0, $s1</t>
  </si>
  <si>
    <t>beq $v1, $zero, 11</t>
  </si>
  <si>
    <t>addiu $v0, $v0, 1</t>
  </si>
  <si>
    <t>sll $v1, $v0, 2</t>
  </si>
  <si>
    <t>sw $v0, 4228($s0)</t>
  </si>
  <si>
    <t>addu $v0, $s2, $v1</t>
  </si>
  <si>
    <t>lw $t9, 0($v0)</t>
  </si>
  <si>
    <t>bne $v1, $zero, -9</t>
  </si>
  <si>
    <t>jal 1048944</t>
  </si>
  <si>
    <t>addiu $v0, $zero, 1</t>
  </si>
  <si>
    <t>sb $v0, 4224($s3)</t>
  </si>
  <si>
    <t>lw $ra, 44($sp)</t>
  </si>
  <si>
    <t>lw $s3, 40($sp)</t>
  </si>
  <si>
    <t>lw $s2, 36($sp)</t>
  </si>
  <si>
    <t>lw $s1, 32($sp)</t>
  </si>
  <si>
    <t>lw $s0, 28($sp)</t>
  </si>
  <si>
    <t>addiu $sp, $sp, 48</t>
  </si>
  <si>
    <t>j 1048958</t>
  </si>
  <si>
    <t>addiu $sp, $sp, -40</t>
  </si>
  <si>
    <t>sw $ra, 36($sp)</t>
  </si>
  <si>
    <t>sw $fp, 32($sp)</t>
  </si>
  <si>
    <t>or $fp, $sp, $zero</t>
  </si>
  <si>
    <t>sh $zero, 30($fp)</t>
  </si>
  <si>
    <t>beq $zero, $zero, 10</t>
  </si>
  <si>
    <t>lhu $v1, 30($fp)</t>
  </si>
  <si>
    <t>lui $v0, $zero, -32768</t>
  </si>
  <si>
    <t>addu $v0, $v1, $v0</t>
  </si>
  <si>
    <t>or $v1, $v0, $zero</t>
  </si>
  <si>
    <t>lhu $v0, 30($fp)</t>
  </si>
  <si>
    <t>sw $v0, 0($v1)</t>
  </si>
  <si>
    <t>addiu $v0, $v0, 4</t>
  </si>
  <si>
    <t>sh $v0, 30($fp)</t>
  </si>
  <si>
    <t>sltiu $v0, $v0, 200</t>
  </si>
  <si>
    <t>bne $v0, $zero, -12</t>
  </si>
  <si>
    <t>lw $v0, -32736($gp)</t>
  </si>
  <si>
    <t>or $t9, $v0, $zero</t>
  </si>
  <si>
    <t>bgezal $zero, 76</t>
  </si>
  <si>
    <t>lw $gp, 16($fp)</t>
  </si>
  <si>
    <t>or $v0, $zero, $zero</t>
  </si>
  <si>
    <t>or $sp, $fp, $zero</t>
  </si>
  <si>
    <t>lw $ra, 36($sp)</t>
  </si>
  <si>
    <t>lw $fp, 32($sp)</t>
  </si>
  <si>
    <t>addiu $sp, $sp, 40</t>
  </si>
  <si>
    <t>addiu $sp, $sp, -8</t>
  </si>
  <si>
    <t>sw $fp, 4($sp)</t>
  </si>
  <si>
    <t>lw $v0, 4112($v0)</t>
  </si>
  <si>
    <t>sw $zero, 0($v0)</t>
  </si>
  <si>
    <t>lw $v0, 4116($v0)</t>
  </si>
  <si>
    <t>lw $v0, 4120($v0)</t>
  </si>
  <si>
    <t>lw $v0, 4124($v0)</t>
  </si>
  <si>
    <t>lw $v0, 4128($v0)</t>
  </si>
  <si>
    <t>lw $fp, 4($sp)</t>
  </si>
  <si>
    <t>addiu $sp, $sp, 8</t>
  </si>
  <si>
    <t>lui $v1, $zero, 8230</t>
  </si>
  <si>
    <t>ori $v1, $v1, 2066</t>
  </si>
  <si>
    <t>sw $v1, 0($v0)</t>
  </si>
  <si>
    <t>sw $a0, 8($fp)</t>
  </si>
  <si>
    <t>sw $a1, 12($fp)</t>
  </si>
  <si>
    <t>sw $a2, 16($fp)</t>
  </si>
  <si>
    <t>lw $v1, 12($fp)</t>
  </si>
  <si>
    <t>lw $v1, 8($fp)</t>
  </si>
  <si>
    <t>lw $v1, 16($fp)</t>
  </si>
  <si>
    <t>addiu $v1, $zero, 1</t>
  </si>
  <si>
    <t>sw $fp, 24($sp)</t>
  </si>
  <si>
    <t>jal 1049060</t>
  </si>
  <si>
    <t>jal 1049084</t>
  </si>
  <si>
    <t>addiu $a2, $zero, 64</t>
  </si>
  <si>
    <t>lui $a1, $zero, -32768</t>
  </si>
  <si>
    <t>lui $a0, $zero, 12288</t>
  </si>
  <si>
    <t>jal 1049098</t>
  </si>
  <si>
    <t>lui $v0, $zero, 64</t>
  </si>
  <si>
    <t>addiu $a0, $v0, 2576</t>
  </si>
  <si>
    <t>lw $v0, -32716($gp)</t>
  </si>
  <si>
    <t>lw $fp, 24($sp)</t>
  </si>
  <si>
    <t>lui $v1, $zero, 65</t>
  </si>
  <si>
    <t>addiu $v0, $zero, -1</t>
  </si>
  <si>
    <t>lw $t9, 4080($v1)</t>
  </si>
  <si>
    <t>beq $t9, $v0, 16</t>
  </si>
  <si>
    <t>addiu $s1, $zero, -1</t>
  </si>
  <si>
    <t>addiu $s0, $v1, 4080</t>
  </si>
  <si>
    <t>addiu $s0, $s0, -4</t>
  </si>
  <si>
    <t>lw $t9, 0($s0)</t>
  </si>
  <si>
    <t>bne $t9, $s1, -4</t>
  </si>
  <si>
    <t>lw $t9, -32752($gp)</t>
  </si>
  <si>
    <t>or $t7, $ra, $zero</t>
  </si>
  <si>
    <t>addiu $t8, $zero, 10</t>
  </si>
  <si>
    <t>addiu $t8, $zero, 8</t>
  </si>
  <si>
    <t>addiu $gp, $gp, -31104</t>
  </si>
  <si>
    <t>addiu $t9, $t9, 1604</t>
  </si>
  <si>
    <t>$gp = 0x00020000</t>
    <phoneticPr fontId="1" type="noConversion"/>
  </si>
  <si>
    <t>$gp = 0x00018B4C</t>
    <phoneticPr fontId="1" type="noConversion"/>
  </si>
  <si>
    <t>Register File</t>
    <phoneticPr fontId="1" type="noConversion"/>
  </si>
  <si>
    <t>$gp = 0x00018B4C + $t9</t>
    <phoneticPr fontId="1" type="noConversion"/>
  </si>
  <si>
    <t>$sp = 0xFFFFFFE0</t>
    <phoneticPr fontId="1" type="noConversion"/>
  </si>
  <si>
    <t>Memory</t>
    <phoneticPr fontId="1" type="noConversion"/>
  </si>
  <si>
    <t>Instruction</t>
    <phoneticPr fontId="1" type="noConversion"/>
  </si>
  <si>
    <t>Logic</t>
    <phoneticPr fontId="1" type="noConversion"/>
  </si>
  <si>
    <t>3c1c0002</t>
  </si>
  <si>
    <t>279c8b4c</t>
  </si>
  <si>
    <t>27bdffe0</t>
  </si>
  <si>
    <t>afbc0010</t>
  </si>
  <si>
    <t>afbf001c</t>
  </si>
  <si>
    <t>8f828030</t>
  </si>
  <si>
    <t>8f998030</t>
  </si>
  <si>
    <t>0320f809</t>
  </si>
  <si>
    <t>3c1c0042</t>
  </si>
  <si>
    <t>279c9030</t>
  </si>
  <si>
    <t>8f99801c</t>
  </si>
  <si>
    <t>273906f4</t>
  </si>
  <si>
    <t>8fbf001c</t>
  </si>
  <si>
    <t>27bd0020</t>
  </si>
  <si>
    <t>279c8ac4</t>
  </si>
  <si>
    <t>039fe021</t>
  </si>
  <si>
    <t>0000f825</t>
  </si>
  <si>
    <t>8f848018</t>
  </si>
  <si>
    <t>8fa50000</t>
  </si>
  <si>
    <t>27a60004</t>
  </si>
  <si>
    <t>2401fff8</t>
  </si>
  <si>
    <t>03a1e824</t>
  </si>
  <si>
    <t>afa00010</t>
  </si>
  <si>
    <t>afa20014</t>
  </si>
  <si>
    <t>afbd0018</t>
  </si>
  <si>
    <t>8f99803c</t>
  </si>
  <si>
    <t>1000ffff</t>
  </si>
  <si>
    <t>3c040041</t>
  </si>
  <si>
    <t>3c020041</t>
  </si>
  <si>
    <t>8f998038</t>
  </si>
  <si>
    <t>00a42823</t>
  </si>
  <si>
    <t>00052fc2</t>
  </si>
  <si>
    <t>00a22821</t>
  </si>
  <si>
    <t>10a00007</t>
  </si>
  <si>
    <t>8f99802c</t>
  </si>
  <si>
    <t>27bdffd0</t>
  </si>
  <si>
    <t>afb30028</t>
  </si>
  <si>
    <t>3c130041</t>
  </si>
  <si>
    <t>afbf002c</t>
  </si>
  <si>
    <t>afb20024</t>
  </si>
  <si>
    <t>afb10020</t>
  </si>
  <si>
    <t>afb0001c</t>
  </si>
  <si>
    <t>1440001c</t>
  </si>
  <si>
    <t>3c110041</t>
  </si>
  <si>
    <t>26310ffc</t>
  </si>
  <si>
    <t>24420ff8</t>
  </si>
  <si>
    <t>3c100041</t>
  </si>
  <si>
    <t>24520ff8</t>
  </si>
  <si>
    <t>8e021084</t>
  </si>
  <si>
    <t>2631ffff</t>
  </si>
  <si>
    <t>0051182b</t>
  </si>
  <si>
    <t>1060000b</t>
  </si>
  <si>
    <t>ae021084</t>
  </si>
  <si>
    <t>8c590000</t>
  </si>
  <si>
    <t>1460fff7</t>
  </si>
  <si>
    <t>0c100170</t>
  </si>
  <si>
    <t>a2621080</t>
  </si>
  <si>
    <t>8fbf002c</t>
  </si>
  <si>
    <t>8fb30028</t>
  </si>
  <si>
    <t>8fb20024</t>
  </si>
  <si>
    <t>8fb10020</t>
  </si>
  <si>
    <t>8fb0001c</t>
  </si>
  <si>
    <t>27bd0030</t>
  </si>
  <si>
    <t>0810017e</t>
  </si>
  <si>
    <t>27bdffd8</t>
  </si>
  <si>
    <t>afbf0024</t>
  </si>
  <si>
    <t>afbe0020</t>
  </si>
  <si>
    <t>03a0f025</t>
  </si>
  <si>
    <t>a7c0001e</t>
  </si>
  <si>
    <t>1000000a</t>
  </si>
  <si>
    <t>97c3001e</t>
  </si>
  <si>
    <t>3c028000</t>
  </si>
  <si>
    <t>97c2001e</t>
  </si>
  <si>
    <t>ac620000</t>
  </si>
  <si>
    <t>a7c2001e</t>
  </si>
  <si>
    <t>2c4200c8</t>
  </si>
  <si>
    <t>1440fff4</t>
  </si>
  <si>
    <t>8f828020</t>
  </si>
  <si>
    <t>0040c825</t>
  </si>
  <si>
    <t>0411004c</t>
  </si>
  <si>
    <t>8fdc0010</t>
  </si>
  <si>
    <t>03c0e825</t>
  </si>
  <si>
    <t>8fbf0024</t>
  </si>
  <si>
    <t>8fbe0020</t>
  </si>
  <si>
    <t>27bd0028</t>
  </si>
  <si>
    <t>27bdfff8</t>
  </si>
  <si>
    <t>afbe0004</t>
  </si>
  <si>
    <t>8c421010</t>
  </si>
  <si>
    <t>ac400000</t>
  </si>
  <si>
    <t>8c421014</t>
  </si>
  <si>
    <t>8c421018</t>
  </si>
  <si>
    <t>8c42101c</t>
  </si>
  <si>
    <t>8c421020</t>
  </si>
  <si>
    <t>8fbe0004</t>
  </si>
  <si>
    <t>27bd0008</t>
  </si>
  <si>
    <t>3c032026</t>
  </si>
  <si>
    <t>ac430000</t>
  </si>
  <si>
    <t>afc40008</t>
  </si>
  <si>
    <t>afc5000c</t>
  </si>
  <si>
    <t>afc60010</t>
  </si>
  <si>
    <t>8fc3000c</t>
  </si>
  <si>
    <t>8fc30008</t>
  </si>
  <si>
    <t>8fc30010</t>
  </si>
  <si>
    <t>afbe0018</t>
  </si>
  <si>
    <t>0c1001e4</t>
  </si>
  <si>
    <t>0c1001fc</t>
  </si>
  <si>
    <t>3c058000</t>
  </si>
  <si>
    <t>3c043000</t>
  </si>
  <si>
    <t>0c10020a</t>
  </si>
  <si>
    <t>3c020040</t>
  </si>
  <si>
    <t>24440a10</t>
  </si>
  <si>
    <t>8f828034</t>
  </si>
  <si>
    <t>8fbe0018</t>
  </si>
  <si>
    <t>3c030041</t>
  </si>
  <si>
    <t>2402ffff</t>
  </si>
  <si>
    <t>8c790ff0</t>
  </si>
  <si>
    <t>2411ffff</t>
  </si>
  <si>
    <t>24700ff0</t>
  </si>
  <si>
    <t>2610fffc</t>
  </si>
  <si>
    <t>8e190000</t>
  </si>
  <si>
    <t>1731fffc</t>
  </si>
  <si>
    <t>8f998010</t>
  </si>
  <si>
    <t>03e07825</t>
  </si>
  <si>
    <t>2418000a</t>
  </si>
  <si>
    <t>279c8680</t>
  </si>
  <si>
    <t>0399e021</t>
  </si>
  <si>
    <t>10400004</t>
  </si>
  <si>
    <t>00000000</t>
  </si>
  <si>
    <t>04110001</t>
  </si>
  <si>
    <t>27390920</t>
  </si>
  <si>
    <t>03e00008</t>
  </si>
  <si>
    <t>03e00025</t>
  </si>
  <si>
    <t>00003825</t>
  </si>
  <si>
    <t>24841034</t>
  </si>
  <si>
    <t>24421034</t>
  </si>
  <si>
    <t>10440007</t>
  </si>
  <si>
    <t>13200003</t>
  </si>
  <si>
    <t>03200008</t>
  </si>
  <si>
    <t>24451034</t>
  </si>
  <si>
    <t>00051083</t>
  </si>
  <si>
    <t>00052843</t>
  </si>
  <si>
    <t>92621080</t>
  </si>
  <si>
    <t>02228823</t>
  </si>
  <si>
    <t>00118883</t>
  </si>
  <si>
    <t>24420001</t>
  </si>
  <si>
    <t>00021880</t>
  </si>
  <si>
    <t>02431021</t>
  </si>
  <si>
    <t>24020001</t>
  </si>
  <si>
    <t>00621021</t>
  </si>
  <si>
    <t>00401825</t>
  </si>
  <si>
    <t>24420004</t>
  </si>
  <si>
    <t>00001025</t>
  </si>
  <si>
    <t>34630812</t>
  </si>
  <si>
    <t>24030001</t>
  </si>
  <si>
    <t>24060040</t>
  </si>
  <si>
    <t>13220010</t>
  </si>
  <si>
    <t>24180008</t>
  </si>
  <si>
    <t>27390644</t>
  </si>
  <si>
    <t>$t9 = M[0xFFFF108E]</t>
    <phoneticPr fontId="1" type="noConversion"/>
  </si>
  <si>
    <t>$v0 = M[0x00010B7C + $t9]</t>
    <phoneticPr fontId="1" type="noConversion"/>
  </si>
  <si>
    <t>$t9 = M[0xFFFF108E] + 0x000006F4</t>
    <phoneticPr fontId="1" type="noConversion"/>
  </si>
  <si>
    <t>10진수</t>
    <phoneticPr fontId="1" type="noConversion"/>
  </si>
  <si>
    <t>16진수</t>
    <phoneticPr fontId="1" type="noConversion"/>
  </si>
  <si>
    <t>$ra = 0x0000004C</t>
    <phoneticPr fontId="1" type="noConversion"/>
  </si>
  <si>
    <t>Instruction 주소(16진수)</t>
    <phoneticPr fontId="1" type="noConversion"/>
  </si>
  <si>
    <t>Instruction 주소(10진수)</t>
    <phoneticPr fontId="1" type="noConversion"/>
  </si>
  <si>
    <t>Disassembly</t>
    <phoneticPr fontId="1" type="noConversion"/>
  </si>
  <si>
    <t>Goto (M[0xFFFF108E] + 0x000006F4)</t>
    <phoneticPr fontId="1" type="noConversion"/>
  </si>
  <si>
    <t>Goto 0x0040051C</t>
    <phoneticPr fontId="1" type="noConversion"/>
  </si>
  <si>
    <t>($v0==zero)?Goto 0x00400514</t>
    <phoneticPr fontId="1" type="noConversion"/>
  </si>
  <si>
    <t>$gp = 0x00420000</t>
    <phoneticPr fontId="1" type="noConversion"/>
  </si>
  <si>
    <t>$gp = 0x00419030</t>
    <phoneticPr fontId="1" type="noConversion"/>
  </si>
  <si>
    <t>전제 조건</t>
    <phoneticPr fontId="1" type="noConversion"/>
  </si>
  <si>
    <t>$t9 = 0x004004E4</t>
    <phoneticPr fontId="1" type="noConversion"/>
  </si>
  <si>
    <t>&lt;init&gt; pc 주소</t>
    <phoneticPr fontId="1" type="noConversion"/>
  </si>
  <si>
    <t xml:space="preserve">$sp = </t>
    <phoneticPr fontId="1" type="noConversion"/>
  </si>
  <si>
    <t>SP_INIT</t>
    <phoneticPr fontId="1" type="noConversion"/>
  </si>
  <si>
    <t>M[SP_INIT-16] = (0x00018B4C + $t9)</t>
    <phoneticPr fontId="1" type="noConversion"/>
  </si>
  <si>
    <t>M[SP_INIT-4] = $ra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</si>
</sst>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2033-4B4E-4A2A-B38E-DB6853B9FE63}">
  <dimension ref="B2:E13"/>
  <sheetViews>
    <sheetView showGridLines="0" workbookViewId="0">
      <selection activeCell="C5" sqref="C5"/>
    </sheetView>
  </sheetViews>
  <sheetFormatPr defaultColWidth="8.625" defaultRowHeight="16.5" x14ac:dyDescent="0.3"/>
  <cols>
    <col min="1" max="1" width="2.625" customWidth="1"/>
    <col min="2" max="2" width="18.625" style="1" customWidth="1"/>
    <col min="3" max="4" width="12.625" style="1" customWidth="1"/>
    <col min="5" max="5" width="8.625" style="1"/>
  </cols>
  <sheetData>
    <row r="2" spans="2:5" x14ac:dyDescent="0.3">
      <c r="B2" s="1" t="s">
        <v>41</v>
      </c>
      <c r="C2" s="12" t="s">
        <v>43</v>
      </c>
      <c r="D2" s="12"/>
      <c r="E2" s="1" t="s">
        <v>56</v>
      </c>
    </row>
    <row r="3" spans="2:5" x14ac:dyDescent="0.3">
      <c r="B3" s="3" t="s">
        <v>42</v>
      </c>
      <c r="C3" s="1" t="s">
        <v>45</v>
      </c>
      <c r="D3" s="1" t="s">
        <v>66</v>
      </c>
      <c r="E3" s="1" t="s">
        <v>57</v>
      </c>
    </row>
    <row r="4" spans="2:5" x14ac:dyDescent="0.3">
      <c r="B4" s="3" t="s">
        <v>36</v>
      </c>
      <c r="C4" s="1" t="s">
        <v>46</v>
      </c>
      <c r="D4" s="1" t="s">
        <v>47</v>
      </c>
      <c r="E4" s="1" t="s">
        <v>58</v>
      </c>
    </row>
    <row r="5" spans="2:5" x14ac:dyDescent="0.3">
      <c r="B5" s="3" t="s">
        <v>37</v>
      </c>
      <c r="C5" s="1" t="s">
        <v>48</v>
      </c>
      <c r="D5" s="1" t="s">
        <v>49</v>
      </c>
      <c r="E5" s="1" t="s">
        <v>58</v>
      </c>
    </row>
    <row r="6" spans="2:5" x14ac:dyDescent="0.3">
      <c r="B6" s="3" t="s">
        <v>44</v>
      </c>
      <c r="C6" s="1" t="s">
        <v>50</v>
      </c>
      <c r="D6" s="1" t="s">
        <v>51</v>
      </c>
      <c r="E6" s="1" t="s">
        <v>59</v>
      </c>
    </row>
    <row r="7" spans="2:5" x14ac:dyDescent="0.3">
      <c r="B7" s="3" t="s">
        <v>38</v>
      </c>
      <c r="C7" s="1" t="s">
        <v>52</v>
      </c>
      <c r="D7" s="1" t="s">
        <v>53</v>
      </c>
      <c r="E7" s="1" t="s">
        <v>59</v>
      </c>
    </row>
    <row r="8" spans="2:5" x14ac:dyDescent="0.3">
      <c r="B8" s="3" t="s">
        <v>35</v>
      </c>
      <c r="C8" s="1" t="s">
        <v>54</v>
      </c>
      <c r="D8" s="1" t="s">
        <v>55</v>
      </c>
      <c r="E8" s="1" t="s">
        <v>58</v>
      </c>
    </row>
    <row r="9" spans="2:5" x14ac:dyDescent="0.3">
      <c r="B9" s="3" t="s">
        <v>40</v>
      </c>
      <c r="C9" s="1" t="s">
        <v>60</v>
      </c>
      <c r="D9" s="1" t="s">
        <v>60</v>
      </c>
      <c r="E9" s="1" t="s">
        <v>57</v>
      </c>
    </row>
    <row r="10" spans="2:5" x14ac:dyDescent="0.3">
      <c r="B10" s="3" t="s">
        <v>39</v>
      </c>
      <c r="C10" s="1" t="s">
        <v>61</v>
      </c>
      <c r="D10" s="1" t="s">
        <v>62</v>
      </c>
      <c r="E10" s="1" t="s">
        <v>57</v>
      </c>
    </row>
    <row r="11" spans="2:5" x14ac:dyDescent="0.3">
      <c r="B11" s="3" t="s">
        <v>72</v>
      </c>
      <c r="C11" s="1" t="s">
        <v>63</v>
      </c>
      <c r="D11" s="1" t="s">
        <v>64</v>
      </c>
      <c r="E11" s="1" t="s">
        <v>57</v>
      </c>
    </row>
    <row r="12" spans="2:5" x14ac:dyDescent="0.3">
      <c r="B12" s="3" t="s">
        <v>71</v>
      </c>
      <c r="C12" s="1" t="s">
        <v>65</v>
      </c>
      <c r="D12" s="1" t="s">
        <v>67</v>
      </c>
      <c r="E12" s="1" t="s">
        <v>57</v>
      </c>
    </row>
    <row r="13" spans="2:5" x14ac:dyDescent="0.3">
      <c r="B13" s="3" t="s">
        <v>70</v>
      </c>
      <c r="C13" s="1" t="s">
        <v>68</v>
      </c>
      <c r="D13" s="1" t="s">
        <v>69</v>
      </c>
      <c r="E13" s="1" t="s">
        <v>58</v>
      </c>
    </row>
  </sheetData>
  <mergeCells count="1">
    <mergeCell ref="C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3" t="s">
        <v>16</v>
      </c>
      <c r="C2" s="13"/>
      <c r="D2" s="13"/>
      <c r="E2" s="13"/>
      <c r="F2" s="13"/>
      <c r="G2" s="13"/>
    </row>
    <row r="3" spans="2:7" x14ac:dyDescent="0.3">
      <c r="B3" s="13" t="s">
        <v>27</v>
      </c>
      <c r="C3" s="13"/>
      <c r="D3" s="13" t="s">
        <v>28</v>
      </c>
      <c r="E3" s="13"/>
      <c r="F3" s="13"/>
      <c r="G3" s="13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7579D-FAA6-4F15-B946-E6672032C149}">
  <dimension ref="B2:G14"/>
  <sheetViews>
    <sheetView showGridLines="0" workbookViewId="0">
      <selection activeCell="E11" sqref="E11"/>
    </sheetView>
  </sheetViews>
  <sheetFormatPr defaultColWidth="8.625" defaultRowHeight="16.5" x14ac:dyDescent="0.3"/>
  <cols>
    <col min="1" max="1" width="2.625" style="1" customWidth="1"/>
    <col min="2" max="2" width="4" style="1" bestFit="1" customWidth="1"/>
    <col min="3" max="3" width="7.125" style="1" bestFit="1" customWidth="1"/>
    <col min="4" max="4" width="76.75" style="1" bestFit="1" customWidth="1"/>
    <col min="5" max="5" width="43" style="1" bestFit="1" customWidth="1"/>
    <col min="6" max="6" width="11" style="1" bestFit="1" customWidth="1"/>
    <col min="7" max="7" width="2.75" style="1" bestFit="1" customWidth="1"/>
    <col min="8" max="16384" width="8.625" style="1"/>
  </cols>
  <sheetData>
    <row r="2" spans="2:7" x14ac:dyDescent="0.3">
      <c r="B2" s="12" t="s">
        <v>0</v>
      </c>
      <c r="C2" s="12" t="s">
        <v>73</v>
      </c>
      <c r="D2" s="12" t="s">
        <v>94</v>
      </c>
      <c r="E2" s="12" t="s">
        <v>74</v>
      </c>
      <c r="F2" s="12" t="s">
        <v>95</v>
      </c>
      <c r="G2" s="12"/>
    </row>
    <row r="3" spans="2:7" x14ac:dyDescent="0.3">
      <c r="B3" s="12"/>
      <c r="C3" s="12"/>
      <c r="D3" s="12"/>
      <c r="E3" s="12"/>
      <c r="F3" s="1" t="s">
        <v>90</v>
      </c>
      <c r="G3" s="1" t="s">
        <v>91</v>
      </c>
    </row>
    <row r="4" spans="2:7" x14ac:dyDescent="0.3">
      <c r="B4" s="1">
        <v>1</v>
      </c>
      <c r="C4" s="1" t="s">
        <v>77</v>
      </c>
      <c r="D4" s="11" t="s">
        <v>84</v>
      </c>
      <c r="E4" s="1" t="s">
        <v>80</v>
      </c>
      <c r="F4" s="1" t="s">
        <v>93</v>
      </c>
      <c r="G4" s="1" t="s">
        <v>93</v>
      </c>
    </row>
    <row r="5" spans="2:7" x14ac:dyDescent="0.3">
      <c r="B5" s="1">
        <f t="shared" ref="B5:B14" si="0">B4+1</f>
        <v>2</v>
      </c>
      <c r="C5" s="1" t="s">
        <v>78</v>
      </c>
      <c r="D5" s="11" t="s">
        <v>83</v>
      </c>
      <c r="E5" s="1" t="s">
        <v>81</v>
      </c>
      <c r="F5" s="1" t="s">
        <v>93</v>
      </c>
      <c r="G5" s="1" t="s">
        <v>93</v>
      </c>
    </row>
    <row r="6" spans="2:7" x14ac:dyDescent="0.3">
      <c r="B6" s="1">
        <f t="shared" si="0"/>
        <v>3</v>
      </c>
      <c r="C6" s="1" t="s">
        <v>79</v>
      </c>
      <c r="D6" s="11" t="s">
        <v>85</v>
      </c>
      <c r="E6" s="1" t="s">
        <v>82</v>
      </c>
      <c r="F6" s="1" t="s">
        <v>93</v>
      </c>
      <c r="G6" s="1" t="s">
        <v>93</v>
      </c>
    </row>
    <row r="7" spans="2:7" x14ac:dyDescent="0.3">
      <c r="B7" s="1">
        <f t="shared" si="0"/>
        <v>4</v>
      </c>
      <c r="C7" s="1" t="s">
        <v>75</v>
      </c>
      <c r="D7" s="1" t="s">
        <v>86</v>
      </c>
      <c r="E7" s="1" t="s">
        <v>76</v>
      </c>
      <c r="F7" s="1" t="s">
        <v>93</v>
      </c>
      <c r="G7" s="1" t="s">
        <v>93</v>
      </c>
    </row>
    <row r="8" spans="2:7" x14ac:dyDescent="0.3">
      <c r="B8" s="1">
        <f t="shared" si="0"/>
        <v>5</v>
      </c>
      <c r="C8" s="1" t="s">
        <v>87</v>
      </c>
      <c r="D8" s="1" t="s">
        <v>88</v>
      </c>
      <c r="E8" s="1" t="s">
        <v>89</v>
      </c>
      <c r="F8" s="1" t="s">
        <v>93</v>
      </c>
      <c r="G8" s="1" t="s">
        <v>93</v>
      </c>
    </row>
    <row r="9" spans="2:7" x14ac:dyDescent="0.3">
      <c r="B9" s="1">
        <f t="shared" si="0"/>
        <v>6</v>
      </c>
      <c r="C9" s="1" t="s">
        <v>96</v>
      </c>
      <c r="D9" s="1" t="s">
        <v>98</v>
      </c>
      <c r="E9" s="1" t="s">
        <v>101</v>
      </c>
      <c r="F9" s="1" t="s">
        <v>92</v>
      </c>
      <c r="G9" s="1" t="s">
        <v>93</v>
      </c>
    </row>
    <row r="10" spans="2:7" x14ac:dyDescent="0.3">
      <c r="B10" s="1">
        <f t="shared" si="0"/>
        <v>7</v>
      </c>
      <c r="C10" s="1" t="s">
        <v>97</v>
      </c>
      <c r="D10" s="1" t="s">
        <v>99</v>
      </c>
      <c r="E10" s="1" t="s">
        <v>100</v>
      </c>
      <c r="F10" s="1" t="s">
        <v>92</v>
      </c>
      <c r="G10" s="1" t="s">
        <v>93</v>
      </c>
    </row>
    <row r="11" spans="2:7" x14ac:dyDescent="0.3">
      <c r="B11" s="1">
        <f t="shared" si="0"/>
        <v>8</v>
      </c>
      <c r="C11" s="1" t="s">
        <v>102</v>
      </c>
      <c r="D11" s="1" t="s">
        <v>106</v>
      </c>
      <c r="E11" s="1" t="s">
        <v>109</v>
      </c>
      <c r="F11" s="1" t="s">
        <v>92</v>
      </c>
      <c r="G11" s="1" t="s">
        <v>93</v>
      </c>
    </row>
    <row r="12" spans="2:7" x14ac:dyDescent="0.3">
      <c r="B12" s="1">
        <f t="shared" si="0"/>
        <v>9</v>
      </c>
      <c r="C12" s="1" t="s">
        <v>103</v>
      </c>
      <c r="D12" s="1" t="s">
        <v>107</v>
      </c>
      <c r="E12" s="1" t="s">
        <v>108</v>
      </c>
      <c r="F12" s="1" t="s">
        <v>92</v>
      </c>
      <c r="G12" s="1" t="s">
        <v>93</v>
      </c>
    </row>
    <row r="13" spans="2:7" x14ac:dyDescent="0.3">
      <c r="B13" s="1">
        <f t="shared" si="0"/>
        <v>10</v>
      </c>
      <c r="C13" s="1" t="s">
        <v>104</v>
      </c>
      <c r="D13" s="1" t="s">
        <v>111</v>
      </c>
      <c r="E13" s="1" t="s">
        <v>100</v>
      </c>
      <c r="F13" s="1" t="s">
        <v>92</v>
      </c>
      <c r="G13" s="1" t="s">
        <v>93</v>
      </c>
    </row>
    <row r="14" spans="2:7" x14ac:dyDescent="0.3">
      <c r="B14" s="1">
        <f t="shared" si="0"/>
        <v>11</v>
      </c>
      <c r="C14" s="1" t="s">
        <v>105</v>
      </c>
      <c r="D14" s="1" t="s">
        <v>110</v>
      </c>
      <c r="E14" s="1" t="s">
        <v>108</v>
      </c>
      <c r="F14" s="1" t="s">
        <v>92</v>
      </c>
      <c r="G14" s="1" t="s">
        <v>93</v>
      </c>
    </row>
  </sheetData>
  <mergeCells count="5">
    <mergeCell ref="B2:B3"/>
    <mergeCell ref="C2:C3"/>
    <mergeCell ref="D2:D3"/>
    <mergeCell ref="E2:E3"/>
    <mergeCell ref="F2:G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B6C29-CF0F-4C85-80DB-C8F3FA457A54}">
  <dimension ref="B2:K330"/>
  <sheetViews>
    <sheetView showGridLines="0" tabSelected="1" topLeftCell="A7" workbookViewId="0">
      <selection activeCell="B18" sqref="B18"/>
    </sheetView>
  </sheetViews>
  <sheetFormatPr defaultColWidth="23" defaultRowHeight="16.5" x14ac:dyDescent="0.3"/>
  <cols>
    <col min="1" max="1" width="2.625" customWidth="1"/>
    <col min="2" max="3" width="23.125" bestFit="1" customWidth="1"/>
    <col min="4" max="4" width="10.5" bestFit="1" customWidth="1"/>
    <col min="5" max="5" width="22.5" bestFit="1" customWidth="1"/>
    <col min="6" max="6" width="33.375" bestFit="1" customWidth="1"/>
    <col min="7" max="7" width="33.875" bestFit="1" customWidth="1"/>
    <col min="8" max="8" width="35.375" bestFit="1" customWidth="1"/>
    <col min="9" max="9" width="2.625" customWidth="1"/>
    <col min="10" max="10" width="9.5" bestFit="1" customWidth="1"/>
    <col min="11" max="11" width="10.875" bestFit="1" customWidth="1"/>
  </cols>
  <sheetData>
    <row r="2" spans="2:11" x14ac:dyDescent="0.3">
      <c r="B2" t="s">
        <v>450</v>
      </c>
    </row>
    <row r="3" spans="2:11" x14ac:dyDescent="0.3">
      <c r="E3" t="s">
        <v>451</v>
      </c>
      <c r="F3" t="s">
        <v>452</v>
      </c>
    </row>
    <row r="4" spans="2:11" x14ac:dyDescent="0.3">
      <c r="E4" t="s">
        <v>453</v>
      </c>
      <c r="F4" t="s">
        <v>454</v>
      </c>
    </row>
    <row r="6" spans="2:11" s="1" customFormat="1" x14ac:dyDescent="0.3">
      <c r="B6" s="1" t="s">
        <v>443</v>
      </c>
      <c r="C6" s="1" t="s">
        <v>442</v>
      </c>
      <c r="D6" s="1" t="s">
        <v>276</v>
      </c>
      <c r="E6" s="1" t="s">
        <v>444</v>
      </c>
      <c r="F6" s="1" t="s">
        <v>277</v>
      </c>
      <c r="G6" s="1" t="s">
        <v>272</v>
      </c>
      <c r="H6" s="1" t="s">
        <v>275</v>
      </c>
    </row>
    <row r="7" spans="2:11" x14ac:dyDescent="0.3">
      <c r="B7">
        <v>4195556</v>
      </c>
      <c r="C7" t="str">
        <f>"0x"&amp;DEC2HEX(B7,8)</f>
        <v>0x004004E4</v>
      </c>
      <c r="D7" s="14" t="s">
        <v>278</v>
      </c>
      <c r="E7" t="s">
        <v>112</v>
      </c>
      <c r="G7" t="s">
        <v>270</v>
      </c>
    </row>
    <row r="8" spans="2:11" x14ac:dyDescent="0.3">
      <c r="B8">
        <f>B7+4</f>
        <v>4195560</v>
      </c>
      <c r="C8" t="str">
        <f>"0x"&amp;DEC2HEX(B8,8)</f>
        <v>0x004004E8</v>
      </c>
      <c r="D8" s="14" t="s">
        <v>279</v>
      </c>
      <c r="E8" t="s">
        <v>113</v>
      </c>
      <c r="G8" t="s">
        <v>271</v>
      </c>
      <c r="J8" s="1" t="s">
        <v>439</v>
      </c>
      <c r="K8" s="1" t="s">
        <v>440</v>
      </c>
    </row>
    <row r="9" spans="2:11" x14ac:dyDescent="0.3">
      <c r="B9">
        <f t="shared" ref="B9:B74" si="0">B8+4</f>
        <v>4195564</v>
      </c>
      <c r="C9" t="str">
        <f>"0x"&amp;DEC2HEX(B9,8)</f>
        <v>0x004004EC</v>
      </c>
      <c r="D9" s="14" t="s">
        <v>403</v>
      </c>
      <c r="E9" t="s">
        <v>114</v>
      </c>
      <c r="G9" t="s">
        <v>273</v>
      </c>
      <c r="J9">
        <f>66-28624</f>
        <v>-28558</v>
      </c>
      <c r="K9" t="str">
        <f>DEC2HEX(J9,8)</f>
        <v>FFFFFF9072</v>
      </c>
    </row>
    <row r="10" spans="2:11" x14ac:dyDescent="0.3">
      <c r="B10">
        <f t="shared" si="0"/>
        <v>4195568</v>
      </c>
      <c r="C10" t="str">
        <f>"0x"&amp;DEC2HEX(B10,8)</f>
        <v>0x004004F0</v>
      </c>
      <c r="D10" s="14" t="s">
        <v>280</v>
      </c>
      <c r="E10" t="s">
        <v>115</v>
      </c>
      <c r="G10" t="s">
        <v>274</v>
      </c>
      <c r="J10">
        <f>-28558-32740</f>
        <v>-61298</v>
      </c>
      <c r="K10" t="str">
        <f>DEC2HEX(J10,8)</f>
        <v>FFFFFF108E</v>
      </c>
    </row>
    <row r="11" spans="2:11" x14ac:dyDescent="0.3">
      <c r="B11">
        <f t="shared" si="0"/>
        <v>4195572</v>
      </c>
      <c r="C11" t="str">
        <f>"0x"&amp;DEC2HEX(B11,8)</f>
        <v>0x004004F4</v>
      </c>
      <c r="D11" s="14" t="s">
        <v>281</v>
      </c>
      <c r="E11" t="s">
        <v>116</v>
      </c>
      <c r="H11" t="s">
        <v>455</v>
      </c>
      <c r="J11">
        <v>1780</v>
      </c>
      <c r="K11" t="str">
        <f>DEC2HEX(J11,8)</f>
        <v>000006F4</v>
      </c>
    </row>
    <row r="12" spans="2:11" x14ac:dyDescent="0.3">
      <c r="B12">
        <f t="shared" si="0"/>
        <v>4195576</v>
      </c>
      <c r="C12" t="str">
        <f>"0x"&amp;DEC2HEX(B12,8)</f>
        <v>0x004004F8</v>
      </c>
      <c r="D12" s="14" t="s">
        <v>282</v>
      </c>
      <c r="E12" t="s">
        <v>117</v>
      </c>
      <c r="H12" t="s">
        <v>456</v>
      </c>
      <c r="J12">
        <v>4195556</v>
      </c>
      <c r="K12" t="str">
        <f>DEC2HEX(J12,8)</f>
        <v>004004E4</v>
      </c>
    </row>
    <row r="13" spans="2:11" x14ac:dyDescent="0.3">
      <c r="B13">
        <f t="shared" si="0"/>
        <v>4195580</v>
      </c>
      <c r="C13" t="str">
        <f>"0x"&amp;DEC2HEX(B13,8)</f>
        <v>0x004004FC</v>
      </c>
      <c r="D13" s="14" t="s">
        <v>283</v>
      </c>
      <c r="E13" t="s">
        <v>118</v>
      </c>
      <c r="G13" t="s">
        <v>437</v>
      </c>
      <c r="J13">
        <v>4325376</v>
      </c>
      <c r="K13" t="str">
        <f>DEC2HEX(J13,8)</f>
        <v>00420000</v>
      </c>
    </row>
    <row r="14" spans="2:11" x14ac:dyDescent="0.3">
      <c r="B14">
        <f t="shared" si="0"/>
        <v>4195584</v>
      </c>
      <c r="C14" t="str">
        <f>"0x"&amp;DEC2HEX(B14,8)</f>
        <v>0x00400500</v>
      </c>
      <c r="D14" s="14" t="s">
        <v>404</v>
      </c>
      <c r="E14" t="s">
        <v>119</v>
      </c>
      <c r="F14" t="s">
        <v>447</v>
      </c>
      <c r="J14">
        <f>J13-28624</f>
        <v>4296752</v>
      </c>
      <c r="K14" t="str">
        <f>DEC2HEX(J14,8)</f>
        <v>00419030</v>
      </c>
    </row>
    <row r="15" spans="2:11" x14ac:dyDescent="0.3">
      <c r="B15">
        <f t="shared" si="0"/>
        <v>4195588</v>
      </c>
      <c r="C15" t="str">
        <f>"0x"&amp;DEC2HEX(B15,8)</f>
        <v>0x00400504</v>
      </c>
      <c r="D15" s="14" t="s">
        <v>405</v>
      </c>
      <c r="E15" t="s">
        <v>120</v>
      </c>
    </row>
    <row r="16" spans="2:11" x14ac:dyDescent="0.3">
      <c r="B16">
        <f t="shared" si="0"/>
        <v>4195592</v>
      </c>
      <c r="C16" t="str">
        <f>"0x"&amp;DEC2HEX(B16,8)</f>
        <v>0x00400508</v>
      </c>
      <c r="D16" s="14" t="s">
        <v>284</v>
      </c>
      <c r="E16" t="s">
        <v>121</v>
      </c>
    </row>
    <row r="17" spans="2:7" x14ac:dyDescent="0.3">
      <c r="B17">
        <f t="shared" si="0"/>
        <v>4195596</v>
      </c>
      <c r="C17" t="str">
        <f>"0x"&amp;DEC2HEX(B17,8)</f>
        <v>0x0040050C</v>
      </c>
      <c r="D17" s="14" t="s">
        <v>285</v>
      </c>
      <c r="E17" t="s">
        <v>122</v>
      </c>
    </row>
    <row r="18" spans="2:7" x14ac:dyDescent="0.3">
      <c r="B18">
        <f t="shared" si="0"/>
        <v>4195600</v>
      </c>
      <c r="C18" t="str">
        <f>"0x"&amp;DEC2HEX(B18,8)</f>
        <v>0x00400510</v>
      </c>
      <c r="D18" s="14" t="s">
        <v>405</v>
      </c>
      <c r="E18" t="s">
        <v>120</v>
      </c>
    </row>
    <row r="19" spans="2:7" x14ac:dyDescent="0.3">
      <c r="B19">
        <f t="shared" si="0"/>
        <v>4195604</v>
      </c>
      <c r="C19" t="str">
        <f>"0x"&amp;DEC2HEX(B19,8)</f>
        <v>0x00400514</v>
      </c>
      <c r="D19" s="14" t="s">
        <v>406</v>
      </c>
      <c r="E19" t="s">
        <v>123</v>
      </c>
      <c r="F19" t="s">
        <v>446</v>
      </c>
    </row>
    <row r="20" spans="2:7" x14ac:dyDescent="0.3">
      <c r="B20">
        <f t="shared" si="0"/>
        <v>4195608</v>
      </c>
      <c r="C20" t="str">
        <f>"0x"&amp;DEC2HEX(B20,8)</f>
        <v>0x00400518</v>
      </c>
      <c r="D20" s="14" t="s">
        <v>405</v>
      </c>
      <c r="E20" t="s">
        <v>120</v>
      </c>
    </row>
    <row r="21" spans="2:7" x14ac:dyDescent="0.3">
      <c r="B21">
        <f t="shared" si="0"/>
        <v>4195612</v>
      </c>
      <c r="C21" t="str">
        <f>"0x"&amp;DEC2HEX(B21,8)</f>
        <v>0x0040051C</v>
      </c>
      <c r="D21" s="14" t="s">
        <v>286</v>
      </c>
      <c r="E21" t="s">
        <v>124</v>
      </c>
      <c r="G21" t="s">
        <v>448</v>
      </c>
    </row>
    <row r="22" spans="2:7" x14ac:dyDescent="0.3">
      <c r="B22">
        <f t="shared" si="0"/>
        <v>4195616</v>
      </c>
      <c r="C22" t="str">
        <f>"0x"&amp;DEC2HEX(B22,8)</f>
        <v>0x00400520</v>
      </c>
      <c r="D22" s="14" t="s">
        <v>287</v>
      </c>
      <c r="E22" t="s">
        <v>125</v>
      </c>
      <c r="G22" t="s">
        <v>449</v>
      </c>
    </row>
    <row r="23" spans="2:7" x14ac:dyDescent="0.3">
      <c r="B23">
        <f t="shared" si="0"/>
        <v>4195620</v>
      </c>
      <c r="C23" t="str">
        <f>"0x"&amp;DEC2HEX(B23,8)</f>
        <v>0x00400524</v>
      </c>
      <c r="D23" s="14" t="s">
        <v>288</v>
      </c>
      <c r="E23" t="s">
        <v>126</v>
      </c>
      <c r="G23" t="s">
        <v>436</v>
      </c>
    </row>
    <row r="24" spans="2:7" x14ac:dyDescent="0.3">
      <c r="B24">
        <f t="shared" si="0"/>
        <v>4195624</v>
      </c>
      <c r="C24" t="str">
        <f>"0x"&amp;DEC2HEX(B24,8)</f>
        <v>0x00400528</v>
      </c>
      <c r="D24" s="14" t="s">
        <v>289</v>
      </c>
      <c r="E24" t="s">
        <v>127</v>
      </c>
      <c r="G24" t="s">
        <v>438</v>
      </c>
    </row>
    <row r="25" spans="2:7" x14ac:dyDescent="0.3">
      <c r="B25">
        <f t="shared" si="0"/>
        <v>4195628</v>
      </c>
      <c r="C25" t="str">
        <f>"0x"&amp;DEC2HEX(B25,8)</f>
        <v>0x0040052C</v>
      </c>
      <c r="D25" s="14" t="s">
        <v>285</v>
      </c>
      <c r="E25" t="s">
        <v>122</v>
      </c>
      <c r="F25" t="s">
        <v>445</v>
      </c>
      <c r="G25" t="s">
        <v>441</v>
      </c>
    </row>
    <row r="26" spans="2:7" x14ac:dyDescent="0.3">
      <c r="B26">
        <f t="shared" si="0"/>
        <v>4195632</v>
      </c>
      <c r="C26" t="str">
        <f>"0x"&amp;DEC2HEX(B26,8)</f>
        <v>0x00400530</v>
      </c>
      <c r="D26" s="14" t="s">
        <v>405</v>
      </c>
      <c r="E26" t="s">
        <v>120</v>
      </c>
    </row>
    <row r="27" spans="2:7" x14ac:dyDescent="0.3">
      <c r="B27">
        <f t="shared" si="0"/>
        <v>4195636</v>
      </c>
      <c r="C27" t="str">
        <f>"0x"&amp;DEC2HEX(B27,8)</f>
        <v>0x00400534</v>
      </c>
      <c r="D27" s="14" t="s">
        <v>406</v>
      </c>
      <c r="E27" t="s">
        <v>123</v>
      </c>
    </row>
    <row r="28" spans="2:7" x14ac:dyDescent="0.3">
      <c r="B28">
        <f t="shared" si="0"/>
        <v>4195640</v>
      </c>
      <c r="C28" t="str">
        <f>"0x"&amp;DEC2HEX(B28,8)</f>
        <v>0x00400538</v>
      </c>
      <c r="D28" s="14" t="s">
        <v>405</v>
      </c>
      <c r="E28" t="s">
        <v>120</v>
      </c>
    </row>
    <row r="29" spans="2:7" x14ac:dyDescent="0.3">
      <c r="B29">
        <f t="shared" si="0"/>
        <v>4195644</v>
      </c>
      <c r="C29" t="str">
        <f>"0x"&amp;DEC2HEX(B29,8)</f>
        <v>0x0040053C</v>
      </c>
      <c r="D29" s="14" t="s">
        <v>286</v>
      </c>
      <c r="E29" t="s">
        <v>124</v>
      </c>
    </row>
    <row r="30" spans="2:7" x14ac:dyDescent="0.3">
      <c r="B30">
        <f t="shared" si="0"/>
        <v>4195648</v>
      </c>
      <c r="C30" t="str">
        <f>"0x"&amp;DEC2HEX(B30,8)</f>
        <v>0x00400540</v>
      </c>
      <c r="D30" s="14" t="s">
        <v>287</v>
      </c>
      <c r="E30" t="s">
        <v>125</v>
      </c>
    </row>
    <row r="31" spans="2:7" x14ac:dyDescent="0.3">
      <c r="B31">
        <f t="shared" si="0"/>
        <v>4195652</v>
      </c>
      <c r="C31" t="str">
        <f>"0x"&amp;DEC2HEX(B31,8)</f>
        <v>0x00400544</v>
      </c>
      <c r="D31" s="14" t="s">
        <v>288</v>
      </c>
      <c r="E31" t="s">
        <v>126</v>
      </c>
    </row>
    <row r="32" spans="2:7" x14ac:dyDescent="0.3">
      <c r="B32">
        <f t="shared" si="0"/>
        <v>4195656</v>
      </c>
      <c r="C32" t="str">
        <f>"0x"&amp;DEC2HEX(B32,8)</f>
        <v>0x00400548</v>
      </c>
      <c r="D32" s="14" t="s">
        <v>407</v>
      </c>
      <c r="E32" t="s">
        <v>128</v>
      </c>
    </row>
    <row r="33" spans="2:5" x14ac:dyDescent="0.3">
      <c r="B33">
        <f t="shared" si="0"/>
        <v>4195660</v>
      </c>
      <c r="C33" t="str">
        <f>"0x"&amp;DEC2HEX(B33,8)</f>
        <v>0x0040054C</v>
      </c>
      <c r="D33" s="14" t="s">
        <v>285</v>
      </c>
      <c r="E33" t="s">
        <v>122</v>
      </c>
    </row>
    <row r="34" spans="2:5" x14ac:dyDescent="0.3">
      <c r="B34">
        <f t="shared" si="0"/>
        <v>4195664</v>
      </c>
      <c r="C34" t="str">
        <f>"0x"&amp;DEC2HEX(B34,8)</f>
        <v>0x00400550</v>
      </c>
      <c r="D34" s="14" t="s">
        <v>405</v>
      </c>
      <c r="E34" t="s">
        <v>120</v>
      </c>
    </row>
    <row r="35" spans="2:5" x14ac:dyDescent="0.3">
      <c r="B35">
        <f t="shared" si="0"/>
        <v>4195668</v>
      </c>
      <c r="C35" t="str">
        <f>"0x"&amp;DEC2HEX(B35,8)</f>
        <v>0x00400554</v>
      </c>
      <c r="D35" s="14" t="s">
        <v>290</v>
      </c>
      <c r="E35" t="s">
        <v>129</v>
      </c>
    </row>
    <row r="36" spans="2:5" x14ac:dyDescent="0.3">
      <c r="B36">
        <f t="shared" si="0"/>
        <v>4195672</v>
      </c>
      <c r="C36" t="str">
        <f>"0x"&amp;DEC2HEX(B36,8)</f>
        <v>0x00400558</v>
      </c>
      <c r="D36" s="14" t="s">
        <v>408</v>
      </c>
      <c r="E36" t="s">
        <v>130</v>
      </c>
    </row>
    <row r="37" spans="2:5" x14ac:dyDescent="0.3">
      <c r="B37">
        <f t="shared" si="0"/>
        <v>4195676</v>
      </c>
      <c r="C37" t="str">
        <f>"0x"&amp;DEC2HEX(B37,8)</f>
        <v>0x0040055C</v>
      </c>
      <c r="D37" s="14" t="s">
        <v>291</v>
      </c>
      <c r="E37" t="s">
        <v>131</v>
      </c>
    </row>
    <row r="38" spans="2:5" x14ac:dyDescent="0.3">
      <c r="B38">
        <f t="shared" si="0"/>
        <v>4195680</v>
      </c>
      <c r="C38" t="str">
        <f>"0x"&amp;DEC2HEX(B38,8)</f>
        <v>0x00400560</v>
      </c>
      <c r="D38" s="14" t="s">
        <v>409</v>
      </c>
      <c r="E38" t="s">
        <v>132</v>
      </c>
    </row>
    <row r="39" spans="2:5" x14ac:dyDescent="0.3">
      <c r="B39">
        <f t="shared" si="0"/>
        <v>4195684</v>
      </c>
      <c r="C39" t="str">
        <f>"0x"&amp;DEC2HEX(B39,8)</f>
        <v>0x00400564</v>
      </c>
      <c r="D39" s="14" t="s">
        <v>406</v>
      </c>
      <c r="E39" t="s">
        <v>123</v>
      </c>
    </row>
    <row r="40" spans="2:5" x14ac:dyDescent="0.3">
      <c r="B40">
        <f t="shared" si="0"/>
        <v>4195688</v>
      </c>
      <c r="C40" t="str">
        <f>"0x"&amp;DEC2HEX(B40,8)</f>
        <v>0x00400568</v>
      </c>
      <c r="D40" s="14" t="s">
        <v>405</v>
      </c>
      <c r="E40" t="s">
        <v>120</v>
      </c>
    </row>
    <row r="41" spans="2:5" x14ac:dyDescent="0.3">
      <c r="B41">
        <f t="shared" si="0"/>
        <v>4195692</v>
      </c>
      <c r="C41" t="str">
        <f>"0x"&amp;DEC2HEX(B41,8)</f>
        <v>0x0040056C</v>
      </c>
      <c r="D41" s="14" t="s">
        <v>278</v>
      </c>
      <c r="E41" t="s">
        <v>112</v>
      </c>
    </row>
    <row r="42" spans="2:5" x14ac:dyDescent="0.3">
      <c r="B42">
        <f t="shared" si="0"/>
        <v>4195696</v>
      </c>
      <c r="C42" t="str">
        <f>"0x"&amp;DEC2HEX(B42,8)</f>
        <v>0x00400570</v>
      </c>
      <c r="D42" s="14" t="s">
        <v>292</v>
      </c>
      <c r="E42" t="s">
        <v>133</v>
      </c>
    </row>
    <row r="43" spans="2:5" x14ac:dyDescent="0.3">
      <c r="B43">
        <f t="shared" si="0"/>
        <v>4195700</v>
      </c>
      <c r="C43" t="str">
        <f>"0x"&amp;DEC2HEX(B43,8)</f>
        <v>0x00400574</v>
      </c>
      <c r="D43" s="14" t="s">
        <v>293</v>
      </c>
      <c r="E43" t="s">
        <v>134</v>
      </c>
    </row>
    <row r="44" spans="2:5" x14ac:dyDescent="0.3">
      <c r="B44">
        <f t="shared" si="0"/>
        <v>4195704</v>
      </c>
      <c r="C44" t="str">
        <f>"0x"&amp;DEC2HEX(B44,8)</f>
        <v>0x00400578</v>
      </c>
      <c r="D44" s="14" t="s">
        <v>294</v>
      </c>
      <c r="E44" t="s">
        <v>135</v>
      </c>
    </row>
    <row r="45" spans="2:5" x14ac:dyDescent="0.3">
      <c r="B45">
        <f t="shared" si="0"/>
        <v>4195708</v>
      </c>
      <c r="C45" t="str">
        <f>"0x"&amp;DEC2HEX(B45,8)</f>
        <v>0x0040057C</v>
      </c>
      <c r="D45" s="14" t="s">
        <v>295</v>
      </c>
      <c r="E45" t="s">
        <v>136</v>
      </c>
    </row>
    <row r="46" spans="2:5" x14ac:dyDescent="0.3">
      <c r="B46">
        <f t="shared" si="0"/>
        <v>4195712</v>
      </c>
      <c r="C46" t="str">
        <f>"0x"&amp;DEC2HEX(B46,8)</f>
        <v>0x00400580</v>
      </c>
      <c r="D46" s="14" t="s">
        <v>296</v>
      </c>
      <c r="E46" t="s">
        <v>137</v>
      </c>
    </row>
    <row r="47" spans="2:5" x14ac:dyDescent="0.3">
      <c r="B47">
        <f t="shared" si="0"/>
        <v>4195716</v>
      </c>
      <c r="C47" t="str">
        <f>"0x"&amp;DEC2HEX(B47,8)</f>
        <v>0x00400584</v>
      </c>
      <c r="D47" s="14" t="s">
        <v>297</v>
      </c>
      <c r="E47" t="s">
        <v>138</v>
      </c>
    </row>
    <row r="48" spans="2:5" x14ac:dyDescent="0.3">
      <c r="B48">
        <f t="shared" si="0"/>
        <v>4195720</v>
      </c>
      <c r="C48" t="str">
        <f>"0x"&amp;DEC2HEX(B48,8)</f>
        <v>0x00400588</v>
      </c>
      <c r="D48" s="14" t="s">
        <v>298</v>
      </c>
      <c r="E48" t="s">
        <v>139</v>
      </c>
    </row>
    <row r="49" spans="2:5" x14ac:dyDescent="0.3">
      <c r="B49">
        <f t="shared" si="0"/>
        <v>4195724</v>
      </c>
      <c r="C49" t="str">
        <f>"0x"&amp;DEC2HEX(B49,8)</f>
        <v>0x0040058C</v>
      </c>
      <c r="D49" s="14" t="s">
        <v>299</v>
      </c>
      <c r="E49" t="s">
        <v>140</v>
      </c>
    </row>
    <row r="50" spans="2:5" x14ac:dyDescent="0.3">
      <c r="B50">
        <f t="shared" si="0"/>
        <v>4195728</v>
      </c>
      <c r="C50" t="str">
        <f>"0x"&amp;DEC2HEX(B50,8)</f>
        <v>0x00400590</v>
      </c>
      <c r="D50" s="14" t="s">
        <v>280</v>
      </c>
      <c r="E50" t="s">
        <v>115</v>
      </c>
    </row>
    <row r="51" spans="2:5" x14ac:dyDescent="0.3">
      <c r="B51">
        <f t="shared" si="0"/>
        <v>4195732</v>
      </c>
      <c r="C51" t="str">
        <f>"0x"&amp;DEC2HEX(B51,8)</f>
        <v>0x00400594</v>
      </c>
      <c r="D51" s="14" t="s">
        <v>410</v>
      </c>
      <c r="E51" t="s">
        <v>141</v>
      </c>
    </row>
    <row r="52" spans="2:5" x14ac:dyDescent="0.3">
      <c r="B52">
        <f t="shared" si="0"/>
        <v>4195736</v>
      </c>
      <c r="C52" t="str">
        <f>"0x"&amp;DEC2HEX(B52,8)</f>
        <v>0x00400598</v>
      </c>
      <c r="D52" s="14" t="s">
        <v>300</v>
      </c>
      <c r="E52" t="s">
        <v>142</v>
      </c>
    </row>
    <row r="53" spans="2:5" x14ac:dyDescent="0.3">
      <c r="B53">
        <f t="shared" si="0"/>
        <v>4195740</v>
      </c>
      <c r="C53" t="str">
        <f>"0x"&amp;DEC2HEX(B53,8)</f>
        <v>0x0040059C</v>
      </c>
      <c r="D53" s="14" t="s">
        <v>301</v>
      </c>
      <c r="E53" t="s">
        <v>143</v>
      </c>
    </row>
    <row r="54" spans="2:5" x14ac:dyDescent="0.3">
      <c r="B54">
        <f t="shared" si="0"/>
        <v>4195744</v>
      </c>
      <c r="C54" t="str">
        <f>"0x"&amp;DEC2HEX(B54,8)</f>
        <v>0x004005A0</v>
      </c>
      <c r="D54" s="14" t="s">
        <v>302</v>
      </c>
      <c r="E54" t="s">
        <v>144</v>
      </c>
    </row>
    <row r="55" spans="2:5" x14ac:dyDescent="0.3">
      <c r="B55">
        <f t="shared" si="0"/>
        <v>4195748</v>
      </c>
      <c r="C55" t="str">
        <f>"0x"&amp;DEC2HEX(B55,8)</f>
        <v>0x004005A4</v>
      </c>
      <c r="D55" s="14" t="s">
        <v>303</v>
      </c>
      <c r="E55" t="s">
        <v>145</v>
      </c>
    </row>
    <row r="56" spans="2:5" x14ac:dyDescent="0.3">
      <c r="B56">
        <f t="shared" si="0"/>
        <v>4195752</v>
      </c>
      <c r="C56" t="str">
        <f>"0x"&amp;DEC2HEX(B56,8)</f>
        <v>0x004005A8</v>
      </c>
      <c r="D56" s="14" t="s">
        <v>285</v>
      </c>
      <c r="E56" t="s">
        <v>122</v>
      </c>
    </row>
    <row r="57" spans="2:5" x14ac:dyDescent="0.3">
      <c r="B57">
        <f t="shared" si="0"/>
        <v>4195756</v>
      </c>
      <c r="C57" t="str">
        <f>"0x"&amp;DEC2HEX(B57,8)</f>
        <v>0x004005AC</v>
      </c>
      <c r="D57" s="14" t="s">
        <v>405</v>
      </c>
      <c r="E57" t="s">
        <v>120</v>
      </c>
    </row>
    <row r="58" spans="2:5" x14ac:dyDescent="0.3">
      <c r="B58">
        <f t="shared" si="0"/>
        <v>4195760</v>
      </c>
      <c r="C58" t="str">
        <f>"0x"&amp;DEC2HEX(B58,8)</f>
        <v>0x004005B0</v>
      </c>
      <c r="D58" s="14" t="s">
        <v>304</v>
      </c>
      <c r="E58" t="s">
        <v>146</v>
      </c>
    </row>
    <row r="59" spans="2:5" x14ac:dyDescent="0.3">
      <c r="B59">
        <f t="shared" si="0"/>
        <v>4195764</v>
      </c>
      <c r="C59" t="str">
        <f>"0x"&amp;DEC2HEX(B59,8)</f>
        <v>0x004005B4</v>
      </c>
      <c r="D59" s="14" t="s">
        <v>405</v>
      </c>
      <c r="E59" t="s">
        <v>120</v>
      </c>
    </row>
    <row r="60" spans="2:5" x14ac:dyDescent="0.3">
      <c r="B60">
        <f t="shared" ref="B60" si="1">B59+4</f>
        <v>4195768</v>
      </c>
      <c r="C60" t="str">
        <f>"0x"&amp;DEC2HEX(B60,8)</f>
        <v>0x004005B8</v>
      </c>
      <c r="D60" s="14" t="s">
        <v>405</v>
      </c>
      <c r="E60" t="s">
        <v>120</v>
      </c>
    </row>
    <row r="61" spans="2:5" x14ac:dyDescent="0.3">
      <c r="B61">
        <f t="shared" ref="B61" si="2">B60+4</f>
        <v>4195772</v>
      </c>
      <c r="C61" t="str">
        <f>"0x"&amp;DEC2HEX(B61,8)</f>
        <v>0x004005BC</v>
      </c>
      <c r="D61" s="14" t="s">
        <v>405</v>
      </c>
      <c r="E61" t="s">
        <v>120</v>
      </c>
    </row>
    <row r="62" spans="2:5" x14ac:dyDescent="0.3">
      <c r="B62">
        <f t="shared" si="0"/>
        <v>4195776</v>
      </c>
      <c r="C62" t="str">
        <f>"0x"&amp;DEC2HEX(B62,8)</f>
        <v>0x004005C0</v>
      </c>
      <c r="D62" s="14" t="s">
        <v>305</v>
      </c>
      <c r="E62" t="s">
        <v>147</v>
      </c>
    </row>
    <row r="63" spans="2:5" x14ac:dyDescent="0.3">
      <c r="B63">
        <f t="shared" si="0"/>
        <v>4195780</v>
      </c>
      <c r="C63" t="str">
        <f>"0x"&amp;DEC2HEX(B63,8)</f>
        <v>0x004005C4</v>
      </c>
      <c r="D63" s="14" t="s">
        <v>306</v>
      </c>
      <c r="E63" t="s">
        <v>148</v>
      </c>
    </row>
    <row r="64" spans="2:5" x14ac:dyDescent="0.3">
      <c r="B64">
        <f t="shared" si="0"/>
        <v>4195784</v>
      </c>
      <c r="C64" t="str">
        <f>"0x"&amp;DEC2HEX(B64,8)</f>
        <v>0x004005C8</v>
      </c>
      <c r="D64" s="14" t="s">
        <v>411</v>
      </c>
      <c r="E64" t="s">
        <v>149</v>
      </c>
    </row>
    <row r="65" spans="2:5" x14ac:dyDescent="0.3">
      <c r="B65">
        <f t="shared" si="0"/>
        <v>4195788</v>
      </c>
      <c r="C65" t="str">
        <f>"0x"&amp;DEC2HEX(B65,8)</f>
        <v>0x004005CC</v>
      </c>
      <c r="D65" s="14" t="s">
        <v>412</v>
      </c>
      <c r="E65" t="s">
        <v>150</v>
      </c>
    </row>
    <row r="66" spans="2:5" x14ac:dyDescent="0.3">
      <c r="B66">
        <f t="shared" si="0"/>
        <v>4195792</v>
      </c>
      <c r="C66" t="str">
        <f>"0x"&amp;DEC2HEX(B66,8)</f>
        <v>0x004005D0</v>
      </c>
      <c r="D66" s="14" t="s">
        <v>413</v>
      </c>
      <c r="E66" t="s">
        <v>151</v>
      </c>
    </row>
    <row r="67" spans="2:5" x14ac:dyDescent="0.3">
      <c r="B67">
        <f t="shared" si="0"/>
        <v>4195796</v>
      </c>
      <c r="C67" t="str">
        <f>"0x"&amp;DEC2HEX(B67,8)</f>
        <v>0x004005D4</v>
      </c>
      <c r="D67" s="14" t="s">
        <v>286</v>
      </c>
      <c r="E67" t="s">
        <v>124</v>
      </c>
    </row>
    <row r="68" spans="2:5" x14ac:dyDescent="0.3">
      <c r="B68">
        <f t="shared" si="0"/>
        <v>4195800</v>
      </c>
      <c r="C68" t="str">
        <f>"0x"&amp;DEC2HEX(B68,8)</f>
        <v>0x004005D8</v>
      </c>
      <c r="D68" s="14" t="s">
        <v>287</v>
      </c>
      <c r="E68" t="s">
        <v>125</v>
      </c>
    </row>
    <row r="69" spans="2:5" x14ac:dyDescent="0.3">
      <c r="B69">
        <f t="shared" si="0"/>
        <v>4195804</v>
      </c>
      <c r="C69" t="str">
        <f>"0x"&amp;DEC2HEX(B69,8)</f>
        <v>0x004005DC</v>
      </c>
      <c r="D69" s="14" t="s">
        <v>307</v>
      </c>
      <c r="E69" t="s">
        <v>152</v>
      </c>
    </row>
    <row r="70" spans="2:5" x14ac:dyDescent="0.3">
      <c r="B70">
        <f t="shared" si="0"/>
        <v>4195808</v>
      </c>
      <c r="C70" t="str">
        <f>"0x"&amp;DEC2HEX(B70,8)</f>
        <v>0x004005E0</v>
      </c>
      <c r="D70" s="14" t="s">
        <v>414</v>
      </c>
      <c r="E70" t="s">
        <v>153</v>
      </c>
    </row>
    <row r="71" spans="2:5" x14ac:dyDescent="0.3">
      <c r="B71">
        <f t="shared" si="0"/>
        <v>4195812</v>
      </c>
      <c r="C71" t="str">
        <f>"0x"&amp;DEC2HEX(B71,8)</f>
        <v>0x004005E4</v>
      </c>
      <c r="D71" s="14" t="s">
        <v>405</v>
      </c>
      <c r="E71" t="s">
        <v>120</v>
      </c>
    </row>
    <row r="72" spans="2:5" x14ac:dyDescent="0.3">
      <c r="B72">
        <f t="shared" si="0"/>
        <v>4195816</v>
      </c>
      <c r="C72" t="str">
        <f>"0x"&amp;DEC2HEX(B72,8)</f>
        <v>0x004005E8</v>
      </c>
      <c r="D72" s="14" t="s">
        <v>415</v>
      </c>
      <c r="E72" t="s">
        <v>154</v>
      </c>
    </row>
    <row r="73" spans="2:5" x14ac:dyDescent="0.3">
      <c r="B73">
        <f t="shared" si="0"/>
        <v>4195820</v>
      </c>
      <c r="C73" t="str">
        <f>"0x"&amp;DEC2HEX(B73,8)</f>
        <v>0x004005EC</v>
      </c>
      <c r="D73" s="14" t="s">
        <v>405</v>
      </c>
      <c r="E73" t="s">
        <v>120</v>
      </c>
    </row>
    <row r="74" spans="2:5" x14ac:dyDescent="0.3">
      <c r="B74">
        <f t="shared" si="0"/>
        <v>4195824</v>
      </c>
      <c r="C74" t="str">
        <f>"0x"&amp;DEC2HEX(B74,8)</f>
        <v>0x004005F0</v>
      </c>
      <c r="D74" s="14" t="s">
        <v>408</v>
      </c>
      <c r="E74" t="s">
        <v>130</v>
      </c>
    </row>
    <row r="75" spans="2:5" x14ac:dyDescent="0.3">
      <c r="B75">
        <f t="shared" ref="B75:B138" si="3">B74+4</f>
        <v>4195828</v>
      </c>
      <c r="C75" t="str">
        <f>"0x"&amp;DEC2HEX(B75,8)</f>
        <v>0x004005F4</v>
      </c>
      <c r="D75" s="14" t="s">
        <v>405</v>
      </c>
      <c r="E75" t="s">
        <v>120</v>
      </c>
    </row>
    <row r="76" spans="2:5" x14ac:dyDescent="0.3">
      <c r="B76">
        <f t="shared" si="3"/>
        <v>4195832</v>
      </c>
      <c r="C76" t="str">
        <f>"0x"&amp;DEC2HEX(B76,8)</f>
        <v>0x004005F8</v>
      </c>
      <c r="D76" s="14" t="s">
        <v>305</v>
      </c>
      <c r="E76" t="s">
        <v>147</v>
      </c>
    </row>
    <row r="77" spans="2:5" x14ac:dyDescent="0.3">
      <c r="B77">
        <f t="shared" si="3"/>
        <v>4195836</v>
      </c>
      <c r="C77" t="str">
        <f>"0x"&amp;DEC2HEX(B77,8)</f>
        <v>0x004005FC</v>
      </c>
      <c r="D77" s="14" t="s">
        <v>306</v>
      </c>
      <c r="E77" t="s">
        <v>148</v>
      </c>
    </row>
    <row r="78" spans="2:5" x14ac:dyDescent="0.3">
      <c r="B78">
        <f t="shared" si="3"/>
        <v>4195840</v>
      </c>
      <c r="C78" t="str">
        <f>"0x"&amp;DEC2HEX(B78,8)</f>
        <v>0x00400600</v>
      </c>
      <c r="D78" s="14" t="s">
        <v>411</v>
      </c>
      <c r="E78" t="s">
        <v>149</v>
      </c>
    </row>
    <row r="79" spans="2:5" x14ac:dyDescent="0.3">
      <c r="B79">
        <f t="shared" si="3"/>
        <v>4195844</v>
      </c>
      <c r="C79" t="str">
        <f>"0x"&amp;DEC2HEX(B79,8)</f>
        <v>0x00400604</v>
      </c>
      <c r="D79" s="14" t="s">
        <v>416</v>
      </c>
      <c r="E79" t="s">
        <v>155</v>
      </c>
    </row>
    <row r="80" spans="2:5" x14ac:dyDescent="0.3">
      <c r="B80">
        <f t="shared" si="3"/>
        <v>4195848</v>
      </c>
      <c r="C80" t="str">
        <f>"0x"&amp;DEC2HEX(B80,8)</f>
        <v>0x00400608</v>
      </c>
      <c r="D80" s="14" t="s">
        <v>308</v>
      </c>
      <c r="E80" t="s">
        <v>156</v>
      </c>
    </row>
    <row r="81" spans="2:5" x14ac:dyDescent="0.3">
      <c r="B81">
        <f t="shared" si="3"/>
        <v>4195852</v>
      </c>
      <c r="C81" t="str">
        <f>"0x"&amp;DEC2HEX(B81,8)</f>
        <v>0x0040060C</v>
      </c>
      <c r="D81" s="14" t="s">
        <v>417</v>
      </c>
      <c r="E81" t="s">
        <v>157</v>
      </c>
    </row>
    <row r="82" spans="2:5" x14ac:dyDescent="0.3">
      <c r="B82">
        <f t="shared" si="3"/>
        <v>4195856</v>
      </c>
      <c r="C82" t="str">
        <f>"0x"&amp;DEC2HEX(B82,8)</f>
        <v>0x00400610</v>
      </c>
      <c r="D82" s="14" t="s">
        <v>309</v>
      </c>
      <c r="E82" t="s">
        <v>158</v>
      </c>
    </row>
    <row r="83" spans="2:5" x14ac:dyDescent="0.3">
      <c r="B83">
        <f t="shared" si="3"/>
        <v>4195860</v>
      </c>
      <c r="C83" t="str">
        <f>"0x"&amp;DEC2HEX(B83,8)</f>
        <v>0x00400614</v>
      </c>
      <c r="D83" s="14" t="s">
        <v>310</v>
      </c>
      <c r="E83" t="s">
        <v>159</v>
      </c>
    </row>
    <row r="84" spans="2:5" x14ac:dyDescent="0.3">
      <c r="B84">
        <f t="shared" si="3"/>
        <v>4195864</v>
      </c>
      <c r="C84" t="str">
        <f>"0x"&amp;DEC2HEX(B84,8)</f>
        <v>0x00400618</v>
      </c>
      <c r="D84" s="14" t="s">
        <v>418</v>
      </c>
      <c r="E84" t="s">
        <v>160</v>
      </c>
    </row>
    <row r="85" spans="2:5" x14ac:dyDescent="0.3">
      <c r="B85">
        <f t="shared" si="3"/>
        <v>4195868</v>
      </c>
      <c r="C85" t="str">
        <f>"0x"&amp;DEC2HEX(B85,8)</f>
        <v>0x0040061C</v>
      </c>
      <c r="D85" s="14" t="s">
        <v>311</v>
      </c>
      <c r="E85" t="s">
        <v>161</v>
      </c>
    </row>
    <row r="86" spans="2:5" x14ac:dyDescent="0.3">
      <c r="B86">
        <f t="shared" si="3"/>
        <v>4195872</v>
      </c>
      <c r="C86" t="str">
        <f>"0x"&amp;DEC2HEX(B86,8)</f>
        <v>0x00400620</v>
      </c>
      <c r="D86" s="14" t="s">
        <v>286</v>
      </c>
      <c r="E86" t="s">
        <v>124</v>
      </c>
    </row>
    <row r="87" spans="2:5" x14ac:dyDescent="0.3">
      <c r="B87">
        <f t="shared" si="3"/>
        <v>4195876</v>
      </c>
      <c r="C87" t="str">
        <f>"0x"&amp;DEC2HEX(B87,8)</f>
        <v>0x00400624</v>
      </c>
      <c r="D87" s="14" t="s">
        <v>287</v>
      </c>
      <c r="E87" t="s">
        <v>125</v>
      </c>
    </row>
    <row r="88" spans="2:5" x14ac:dyDescent="0.3">
      <c r="B88">
        <f t="shared" si="3"/>
        <v>4195880</v>
      </c>
      <c r="C88" t="str">
        <f>"0x"&amp;DEC2HEX(B88,8)</f>
        <v>0x00400628</v>
      </c>
      <c r="D88" s="14" t="s">
        <v>312</v>
      </c>
      <c r="E88" t="s">
        <v>162</v>
      </c>
    </row>
    <row r="89" spans="2:5" x14ac:dyDescent="0.3">
      <c r="B89">
        <f t="shared" si="3"/>
        <v>4195884</v>
      </c>
      <c r="C89" t="str">
        <f>"0x"&amp;DEC2HEX(B89,8)</f>
        <v>0x0040062C</v>
      </c>
      <c r="D89" s="14" t="s">
        <v>414</v>
      </c>
      <c r="E89" t="s">
        <v>153</v>
      </c>
    </row>
    <row r="90" spans="2:5" x14ac:dyDescent="0.3">
      <c r="B90">
        <f t="shared" si="3"/>
        <v>4195888</v>
      </c>
      <c r="C90" t="str">
        <f>"0x"&amp;DEC2HEX(B90,8)</f>
        <v>0x00400630</v>
      </c>
      <c r="D90" s="14" t="s">
        <v>405</v>
      </c>
      <c r="E90" t="s">
        <v>120</v>
      </c>
    </row>
    <row r="91" spans="2:5" x14ac:dyDescent="0.3">
      <c r="B91">
        <f t="shared" si="3"/>
        <v>4195892</v>
      </c>
      <c r="C91" t="str">
        <f>"0x"&amp;DEC2HEX(B91,8)</f>
        <v>0x00400634</v>
      </c>
      <c r="D91" s="14" t="s">
        <v>415</v>
      </c>
      <c r="E91" t="s">
        <v>154</v>
      </c>
    </row>
    <row r="92" spans="2:5" x14ac:dyDescent="0.3">
      <c r="B92">
        <f t="shared" si="3"/>
        <v>4195896</v>
      </c>
      <c r="C92" t="str">
        <f>"0x"&amp;DEC2HEX(B92,8)</f>
        <v>0x00400638</v>
      </c>
      <c r="D92" s="14" t="s">
        <v>405</v>
      </c>
      <c r="E92" t="s">
        <v>120</v>
      </c>
    </row>
    <row r="93" spans="2:5" x14ac:dyDescent="0.3">
      <c r="B93">
        <f t="shared" si="3"/>
        <v>4195900</v>
      </c>
      <c r="C93" t="str">
        <f>"0x"&amp;DEC2HEX(B93,8)</f>
        <v>0x0040063C</v>
      </c>
      <c r="D93" s="14" t="s">
        <v>408</v>
      </c>
      <c r="E93" t="s">
        <v>130</v>
      </c>
    </row>
    <row r="94" spans="2:5" x14ac:dyDescent="0.3">
      <c r="B94">
        <f t="shared" si="3"/>
        <v>4195904</v>
      </c>
      <c r="C94" t="str">
        <f>"0x"&amp;DEC2HEX(B94,8)</f>
        <v>0x00400640</v>
      </c>
      <c r="D94" s="14" t="s">
        <v>405</v>
      </c>
      <c r="E94" t="s">
        <v>120</v>
      </c>
    </row>
    <row r="95" spans="2:5" x14ac:dyDescent="0.3">
      <c r="B95">
        <f t="shared" si="3"/>
        <v>4195908</v>
      </c>
      <c r="C95" t="str">
        <f>"0x"&amp;DEC2HEX(B95,8)</f>
        <v>0x00400644</v>
      </c>
      <c r="D95" s="14" t="s">
        <v>313</v>
      </c>
      <c r="E95" t="s">
        <v>163</v>
      </c>
    </row>
    <row r="96" spans="2:5" x14ac:dyDescent="0.3">
      <c r="B96">
        <f t="shared" si="3"/>
        <v>4195912</v>
      </c>
      <c r="C96" t="str">
        <f>"0x"&amp;DEC2HEX(B96,8)</f>
        <v>0x00400648</v>
      </c>
      <c r="D96" s="14" t="s">
        <v>314</v>
      </c>
      <c r="E96" t="s">
        <v>164</v>
      </c>
    </row>
    <row r="97" spans="2:5" x14ac:dyDescent="0.3">
      <c r="B97">
        <f t="shared" si="3"/>
        <v>4195916</v>
      </c>
      <c r="C97" t="str">
        <f>"0x"&amp;DEC2HEX(B97,8)</f>
        <v>0x0040064C</v>
      </c>
      <c r="D97" s="14" t="s">
        <v>315</v>
      </c>
      <c r="E97" t="s">
        <v>165</v>
      </c>
    </row>
    <row r="98" spans="2:5" x14ac:dyDescent="0.3">
      <c r="B98">
        <f t="shared" si="3"/>
        <v>4195920</v>
      </c>
      <c r="C98" t="str">
        <f>"0x"&amp;DEC2HEX(B98,8)</f>
        <v>0x00400650</v>
      </c>
      <c r="D98" s="14" t="s">
        <v>316</v>
      </c>
      <c r="E98" t="s">
        <v>166</v>
      </c>
    </row>
    <row r="99" spans="2:5" x14ac:dyDescent="0.3">
      <c r="B99">
        <f t="shared" si="3"/>
        <v>4195924</v>
      </c>
      <c r="C99" t="str">
        <f>"0x"&amp;DEC2HEX(B99,8)</f>
        <v>0x00400654</v>
      </c>
      <c r="D99" s="14" t="s">
        <v>317</v>
      </c>
      <c r="E99" t="s">
        <v>167</v>
      </c>
    </row>
    <row r="100" spans="2:5" x14ac:dyDescent="0.3">
      <c r="B100">
        <f t="shared" si="3"/>
        <v>4195928</v>
      </c>
      <c r="C100" t="str">
        <f>"0x"&amp;DEC2HEX(B100,8)</f>
        <v>0x00400658</v>
      </c>
      <c r="D100" s="14" t="s">
        <v>318</v>
      </c>
      <c r="E100" t="s">
        <v>168</v>
      </c>
    </row>
    <row r="101" spans="2:5" x14ac:dyDescent="0.3">
      <c r="B101">
        <f t="shared" si="3"/>
        <v>4195932</v>
      </c>
      <c r="C101" t="str">
        <f>"0x"&amp;DEC2HEX(B101,8)</f>
        <v>0x0040065C</v>
      </c>
      <c r="D101" s="14" t="s">
        <v>319</v>
      </c>
      <c r="E101" t="s">
        <v>169</v>
      </c>
    </row>
    <row r="102" spans="2:5" x14ac:dyDescent="0.3">
      <c r="B102">
        <f t="shared" si="3"/>
        <v>4195936</v>
      </c>
      <c r="C102" t="str">
        <f>"0x"&amp;DEC2HEX(B102,8)</f>
        <v>0x00400660</v>
      </c>
      <c r="D102" s="14" t="s">
        <v>419</v>
      </c>
      <c r="E102" t="s">
        <v>170</v>
      </c>
    </row>
    <row r="103" spans="2:5" x14ac:dyDescent="0.3">
      <c r="B103">
        <f t="shared" si="3"/>
        <v>4195940</v>
      </c>
      <c r="C103" t="str">
        <f>"0x"&amp;DEC2HEX(B103,8)</f>
        <v>0x00400664</v>
      </c>
      <c r="D103" s="14" t="s">
        <v>320</v>
      </c>
      <c r="E103" t="s">
        <v>171</v>
      </c>
    </row>
    <row r="104" spans="2:5" x14ac:dyDescent="0.3">
      <c r="B104">
        <f t="shared" si="3"/>
        <v>4195944</v>
      </c>
      <c r="C104" t="str">
        <f>"0x"&amp;DEC2HEX(B104,8)</f>
        <v>0x00400668</v>
      </c>
      <c r="D104" s="14" t="s">
        <v>321</v>
      </c>
      <c r="E104" t="s">
        <v>172</v>
      </c>
    </row>
    <row r="105" spans="2:5" x14ac:dyDescent="0.3">
      <c r="B105">
        <f t="shared" si="3"/>
        <v>4195948</v>
      </c>
      <c r="C105" t="str">
        <f>"0x"&amp;DEC2HEX(B105,8)</f>
        <v>0x0040066C</v>
      </c>
      <c r="D105" s="14" t="s">
        <v>306</v>
      </c>
      <c r="E105" t="s">
        <v>148</v>
      </c>
    </row>
    <row r="106" spans="2:5" x14ac:dyDescent="0.3">
      <c r="B106">
        <f t="shared" si="3"/>
        <v>4195952</v>
      </c>
      <c r="C106" t="str">
        <f>"0x"&amp;DEC2HEX(B106,8)</f>
        <v>0x00400670</v>
      </c>
      <c r="D106" s="14" t="s">
        <v>322</v>
      </c>
      <c r="E106" t="s">
        <v>173</v>
      </c>
    </row>
    <row r="107" spans="2:5" x14ac:dyDescent="0.3">
      <c r="B107">
        <f t="shared" si="3"/>
        <v>4195956</v>
      </c>
      <c r="C107" t="str">
        <f>"0x"&amp;DEC2HEX(B107,8)</f>
        <v>0x00400674</v>
      </c>
      <c r="D107" s="14" t="s">
        <v>323</v>
      </c>
      <c r="E107" t="s">
        <v>174</v>
      </c>
    </row>
    <row r="108" spans="2:5" x14ac:dyDescent="0.3">
      <c r="B108">
        <f t="shared" si="3"/>
        <v>4195960</v>
      </c>
      <c r="C108" t="str">
        <f>"0x"&amp;DEC2HEX(B108,8)</f>
        <v>0x00400678</v>
      </c>
      <c r="D108" s="14" t="s">
        <v>324</v>
      </c>
      <c r="E108" t="s">
        <v>175</v>
      </c>
    </row>
    <row r="109" spans="2:5" x14ac:dyDescent="0.3">
      <c r="B109">
        <f t="shared" si="3"/>
        <v>4195964</v>
      </c>
      <c r="C109" t="str">
        <f>"0x"&amp;DEC2HEX(B109,8)</f>
        <v>0x0040067C</v>
      </c>
      <c r="D109" s="14" t="s">
        <v>420</v>
      </c>
      <c r="E109" t="s">
        <v>176</v>
      </c>
    </row>
    <row r="110" spans="2:5" x14ac:dyDescent="0.3">
      <c r="B110">
        <f t="shared" si="3"/>
        <v>4195968</v>
      </c>
      <c r="C110" t="str">
        <f>"0x"&amp;DEC2HEX(B110,8)</f>
        <v>0x00400680</v>
      </c>
      <c r="D110" s="14" t="s">
        <v>306</v>
      </c>
      <c r="E110" t="s">
        <v>148</v>
      </c>
    </row>
    <row r="111" spans="2:5" x14ac:dyDescent="0.3">
      <c r="B111">
        <f t="shared" si="3"/>
        <v>4195972</v>
      </c>
      <c r="C111" t="str">
        <f>"0x"&amp;DEC2HEX(B111,8)</f>
        <v>0x00400684</v>
      </c>
      <c r="D111" s="14" t="s">
        <v>421</v>
      </c>
      <c r="E111" t="s">
        <v>177</v>
      </c>
    </row>
    <row r="112" spans="2:5" x14ac:dyDescent="0.3">
      <c r="B112">
        <f t="shared" si="3"/>
        <v>4195976</v>
      </c>
      <c r="C112" t="str">
        <f>"0x"&amp;DEC2HEX(B112,8)</f>
        <v>0x00400688</v>
      </c>
      <c r="D112" s="14" t="s">
        <v>325</v>
      </c>
      <c r="E112" t="s">
        <v>178</v>
      </c>
    </row>
    <row r="113" spans="2:5" x14ac:dyDescent="0.3">
      <c r="B113">
        <f t="shared" si="3"/>
        <v>4195980</v>
      </c>
      <c r="C113" t="str">
        <f>"0x"&amp;DEC2HEX(B113,8)</f>
        <v>0x0040068C</v>
      </c>
      <c r="D113" s="14" t="s">
        <v>326</v>
      </c>
      <c r="E113" t="s">
        <v>179</v>
      </c>
    </row>
    <row r="114" spans="2:5" x14ac:dyDescent="0.3">
      <c r="B114">
        <f t="shared" si="3"/>
        <v>4195984</v>
      </c>
      <c r="C114" t="str">
        <f>"0x"&amp;DEC2HEX(B114,8)</f>
        <v>0x00400690</v>
      </c>
      <c r="D114" s="14" t="s">
        <v>327</v>
      </c>
      <c r="E114" t="s">
        <v>180</v>
      </c>
    </row>
    <row r="115" spans="2:5" x14ac:dyDescent="0.3">
      <c r="B115">
        <f t="shared" si="3"/>
        <v>4195988</v>
      </c>
      <c r="C115" t="str">
        <f>"0x"&amp;DEC2HEX(B115,8)</f>
        <v>0x00400694</v>
      </c>
      <c r="D115" s="14" t="s">
        <v>328</v>
      </c>
      <c r="E115" t="s">
        <v>181</v>
      </c>
    </row>
    <row r="116" spans="2:5" x14ac:dyDescent="0.3">
      <c r="B116">
        <f t="shared" si="3"/>
        <v>4195992</v>
      </c>
      <c r="C116" t="str">
        <f>"0x"&amp;DEC2HEX(B116,8)</f>
        <v>0x00400698</v>
      </c>
      <c r="D116" s="14" t="s">
        <v>329</v>
      </c>
      <c r="E116" t="s">
        <v>182</v>
      </c>
    </row>
    <row r="117" spans="2:5" x14ac:dyDescent="0.3">
      <c r="B117">
        <f t="shared" si="3"/>
        <v>4195996</v>
      </c>
      <c r="C117" t="str">
        <f>"0x"&amp;DEC2HEX(B117,8)</f>
        <v>0x0040069C</v>
      </c>
      <c r="D117" s="14" t="s">
        <v>422</v>
      </c>
      <c r="E117" t="s">
        <v>183</v>
      </c>
    </row>
    <row r="118" spans="2:5" x14ac:dyDescent="0.3">
      <c r="B118">
        <f t="shared" si="3"/>
        <v>4196000</v>
      </c>
      <c r="C118" t="str">
        <f>"0x"&amp;DEC2HEX(B118,8)</f>
        <v>0x004006A0</v>
      </c>
      <c r="D118" s="14" t="s">
        <v>423</v>
      </c>
      <c r="E118" t="s">
        <v>184</v>
      </c>
    </row>
    <row r="119" spans="2:5" x14ac:dyDescent="0.3">
      <c r="B119">
        <f t="shared" si="3"/>
        <v>4196004</v>
      </c>
      <c r="C119" t="str">
        <f>"0x"&amp;DEC2HEX(B119,8)</f>
        <v>0x004006A4</v>
      </c>
      <c r="D119" s="14" t="s">
        <v>330</v>
      </c>
      <c r="E119" t="s">
        <v>185</v>
      </c>
    </row>
    <row r="120" spans="2:5" x14ac:dyDescent="0.3">
      <c r="B120">
        <f t="shared" si="3"/>
        <v>4196008</v>
      </c>
      <c r="C120" t="str">
        <f>"0x"&amp;DEC2HEX(B120,8)</f>
        <v>0x004006A8</v>
      </c>
      <c r="D120" s="14" t="s">
        <v>424</v>
      </c>
      <c r="E120" t="s">
        <v>186</v>
      </c>
    </row>
    <row r="121" spans="2:5" x14ac:dyDescent="0.3">
      <c r="B121">
        <f t="shared" si="3"/>
        <v>4196012</v>
      </c>
      <c r="C121" t="str">
        <f>"0x"&amp;DEC2HEX(B121,8)</f>
        <v>0x004006AC</v>
      </c>
      <c r="D121" s="14" t="s">
        <v>331</v>
      </c>
      <c r="E121" t="s">
        <v>187</v>
      </c>
    </row>
    <row r="122" spans="2:5" x14ac:dyDescent="0.3">
      <c r="B122">
        <f t="shared" si="3"/>
        <v>4196016</v>
      </c>
      <c r="C122" t="str">
        <f>"0x"&amp;DEC2HEX(B122,8)</f>
        <v>0x004006B0</v>
      </c>
      <c r="D122" s="14" t="s">
        <v>285</v>
      </c>
      <c r="E122" t="s">
        <v>122</v>
      </c>
    </row>
    <row r="123" spans="2:5" x14ac:dyDescent="0.3">
      <c r="B123">
        <f t="shared" si="3"/>
        <v>4196020</v>
      </c>
      <c r="C123" t="str">
        <f>"0x"&amp;DEC2HEX(B123,8)</f>
        <v>0x004006B4</v>
      </c>
      <c r="D123" s="14" t="s">
        <v>405</v>
      </c>
      <c r="E123" t="s">
        <v>120</v>
      </c>
    </row>
    <row r="124" spans="2:5" x14ac:dyDescent="0.3">
      <c r="B124">
        <f t="shared" si="3"/>
        <v>4196024</v>
      </c>
      <c r="C124" t="str">
        <f>"0x"&amp;DEC2HEX(B124,8)</f>
        <v>0x004006B8</v>
      </c>
      <c r="D124" s="14" t="s">
        <v>326</v>
      </c>
      <c r="E124" t="s">
        <v>179</v>
      </c>
    </row>
    <row r="125" spans="2:5" x14ac:dyDescent="0.3">
      <c r="B125">
        <f t="shared" si="3"/>
        <v>4196028</v>
      </c>
      <c r="C125" t="str">
        <f>"0x"&amp;DEC2HEX(B125,8)</f>
        <v>0x004006BC</v>
      </c>
      <c r="D125" s="14" t="s">
        <v>328</v>
      </c>
      <c r="E125" t="s">
        <v>181</v>
      </c>
    </row>
    <row r="126" spans="2:5" x14ac:dyDescent="0.3">
      <c r="B126">
        <f t="shared" si="3"/>
        <v>4196032</v>
      </c>
      <c r="C126" t="str">
        <f>"0x"&amp;DEC2HEX(B126,8)</f>
        <v>0x004006C0</v>
      </c>
      <c r="D126" s="14" t="s">
        <v>332</v>
      </c>
      <c r="E126" t="s">
        <v>188</v>
      </c>
    </row>
    <row r="127" spans="2:5" x14ac:dyDescent="0.3">
      <c r="B127">
        <f t="shared" si="3"/>
        <v>4196036</v>
      </c>
      <c r="C127" t="str">
        <f>"0x"&amp;DEC2HEX(B127,8)</f>
        <v>0x004006C4</v>
      </c>
      <c r="D127" s="14" t="s">
        <v>422</v>
      </c>
      <c r="E127" t="s">
        <v>183</v>
      </c>
    </row>
    <row r="128" spans="2:5" x14ac:dyDescent="0.3">
      <c r="B128">
        <f t="shared" si="3"/>
        <v>4196040</v>
      </c>
      <c r="C128" t="str">
        <f>"0x"&amp;DEC2HEX(B128,8)</f>
        <v>0x004006C8</v>
      </c>
      <c r="D128" s="14" t="s">
        <v>333</v>
      </c>
      <c r="E128" t="s">
        <v>189</v>
      </c>
    </row>
    <row r="129" spans="2:5" x14ac:dyDescent="0.3">
      <c r="B129">
        <f t="shared" si="3"/>
        <v>4196044</v>
      </c>
      <c r="C129" t="str">
        <f>"0x"&amp;DEC2HEX(B129,8)</f>
        <v>0x004006CC</v>
      </c>
      <c r="D129" s="14" t="s">
        <v>405</v>
      </c>
      <c r="E129" t="s">
        <v>120</v>
      </c>
    </row>
    <row r="130" spans="2:5" x14ac:dyDescent="0.3">
      <c r="B130">
        <f t="shared" si="3"/>
        <v>4196048</v>
      </c>
      <c r="C130" t="str">
        <f>"0x"&amp;DEC2HEX(B130,8)</f>
        <v>0x004006D0</v>
      </c>
      <c r="D130" s="14" t="s">
        <v>425</v>
      </c>
      <c r="E130" t="s">
        <v>190</v>
      </c>
    </row>
    <row r="131" spans="2:5" x14ac:dyDescent="0.3">
      <c r="B131">
        <f t="shared" si="3"/>
        <v>4196052</v>
      </c>
      <c r="C131" t="str">
        <f>"0x"&amp;DEC2HEX(B131,8)</f>
        <v>0x004006D4</v>
      </c>
      <c r="D131" s="14" t="s">
        <v>334</v>
      </c>
      <c r="E131" t="s">
        <v>191</v>
      </c>
    </row>
    <row r="132" spans="2:5" x14ac:dyDescent="0.3">
      <c r="B132">
        <f t="shared" si="3"/>
        <v>4196056</v>
      </c>
      <c r="C132" t="str">
        <f>"0x"&amp;DEC2HEX(B132,8)</f>
        <v>0x004006D8</v>
      </c>
      <c r="D132" s="14" t="s">
        <v>335</v>
      </c>
      <c r="E132" t="s">
        <v>192</v>
      </c>
    </row>
    <row r="133" spans="2:5" x14ac:dyDescent="0.3">
      <c r="B133">
        <f t="shared" si="3"/>
        <v>4196060</v>
      </c>
      <c r="C133" t="str">
        <f>"0x"&amp;DEC2HEX(B133,8)</f>
        <v>0x004006DC</v>
      </c>
      <c r="D133" s="14" t="s">
        <v>336</v>
      </c>
      <c r="E133" t="s">
        <v>193</v>
      </c>
    </row>
    <row r="134" spans="2:5" x14ac:dyDescent="0.3">
      <c r="B134">
        <f t="shared" si="3"/>
        <v>4196064</v>
      </c>
      <c r="C134" t="str">
        <f>"0x"&amp;DEC2HEX(B134,8)</f>
        <v>0x004006E0</v>
      </c>
      <c r="D134" s="14" t="s">
        <v>337</v>
      </c>
      <c r="E134" t="s">
        <v>194</v>
      </c>
    </row>
    <row r="135" spans="2:5" x14ac:dyDescent="0.3">
      <c r="B135">
        <f t="shared" si="3"/>
        <v>4196068</v>
      </c>
      <c r="C135" t="str">
        <f>"0x"&amp;DEC2HEX(B135,8)</f>
        <v>0x004006E4</v>
      </c>
      <c r="D135" s="14" t="s">
        <v>338</v>
      </c>
      <c r="E135" t="s">
        <v>195</v>
      </c>
    </row>
    <row r="136" spans="2:5" x14ac:dyDescent="0.3">
      <c r="B136">
        <f t="shared" si="3"/>
        <v>4196072</v>
      </c>
      <c r="C136" t="str">
        <f>"0x"&amp;DEC2HEX(B136,8)</f>
        <v>0x004006E8</v>
      </c>
      <c r="D136" s="14" t="s">
        <v>339</v>
      </c>
      <c r="E136" t="s">
        <v>196</v>
      </c>
    </row>
    <row r="137" spans="2:5" x14ac:dyDescent="0.3">
      <c r="B137">
        <f t="shared" si="3"/>
        <v>4196076</v>
      </c>
      <c r="C137" t="str">
        <f>"0x"&amp;DEC2HEX(B137,8)</f>
        <v>0x004006EC</v>
      </c>
      <c r="D137" s="14" t="s">
        <v>408</v>
      </c>
      <c r="E137" t="s">
        <v>130</v>
      </c>
    </row>
    <row r="138" spans="2:5" x14ac:dyDescent="0.3">
      <c r="B138">
        <f t="shared" si="3"/>
        <v>4196080</v>
      </c>
      <c r="C138" t="str">
        <f>"0x"&amp;DEC2HEX(B138,8)</f>
        <v>0x004006F0</v>
      </c>
      <c r="D138" s="14" t="s">
        <v>340</v>
      </c>
      <c r="E138" t="s">
        <v>197</v>
      </c>
    </row>
    <row r="139" spans="2:5" x14ac:dyDescent="0.3">
      <c r="B139">
        <f t="shared" ref="B139:B202" si="4">B138+4</f>
        <v>4196084</v>
      </c>
      <c r="C139" t="str">
        <f>"0x"&amp;DEC2HEX(B139,8)</f>
        <v>0x004006F4</v>
      </c>
      <c r="D139" s="14" t="s">
        <v>341</v>
      </c>
      <c r="E139" t="s">
        <v>198</v>
      </c>
    </row>
    <row r="140" spans="2:5" x14ac:dyDescent="0.3">
      <c r="B140">
        <f t="shared" si="4"/>
        <v>4196088</v>
      </c>
      <c r="C140" t="str">
        <f>"0x"&amp;DEC2HEX(B140,8)</f>
        <v>0x004006F8</v>
      </c>
      <c r="D140" s="14" t="s">
        <v>405</v>
      </c>
      <c r="E140" t="s">
        <v>120</v>
      </c>
    </row>
    <row r="141" spans="2:5" x14ac:dyDescent="0.3">
      <c r="B141">
        <f t="shared" si="4"/>
        <v>4196092</v>
      </c>
      <c r="C141" t="str">
        <f>"0x"&amp;DEC2HEX(B141,8)</f>
        <v>0x004006FC</v>
      </c>
      <c r="D141" s="14" t="s">
        <v>405</v>
      </c>
      <c r="E141" t="s">
        <v>120</v>
      </c>
    </row>
    <row r="142" spans="2:5" x14ac:dyDescent="0.3">
      <c r="B142">
        <f t="shared" si="4"/>
        <v>4196096</v>
      </c>
      <c r="C142" t="str">
        <f>"0x"&amp;DEC2HEX(B142,8)</f>
        <v>0x00400700</v>
      </c>
      <c r="D142" s="14" t="s">
        <v>342</v>
      </c>
      <c r="E142" t="s">
        <v>199</v>
      </c>
    </row>
    <row r="143" spans="2:5" x14ac:dyDescent="0.3">
      <c r="B143">
        <f t="shared" si="4"/>
        <v>4196100</v>
      </c>
      <c r="C143" t="str">
        <f>"0x"&amp;DEC2HEX(B143,8)</f>
        <v>0x00400704</v>
      </c>
      <c r="D143" s="14" t="s">
        <v>343</v>
      </c>
      <c r="E143" t="s">
        <v>200</v>
      </c>
    </row>
    <row r="144" spans="2:5" x14ac:dyDescent="0.3">
      <c r="B144">
        <f t="shared" si="4"/>
        <v>4196104</v>
      </c>
      <c r="C144" t="str">
        <f>"0x"&amp;DEC2HEX(B144,8)</f>
        <v>0x00400708</v>
      </c>
      <c r="D144" s="14" t="s">
        <v>344</v>
      </c>
      <c r="E144" t="s">
        <v>201</v>
      </c>
    </row>
    <row r="145" spans="2:5" x14ac:dyDescent="0.3">
      <c r="B145">
        <f t="shared" si="4"/>
        <v>4196108</v>
      </c>
      <c r="C145" t="str">
        <f>"0x"&amp;DEC2HEX(B145,8)</f>
        <v>0x0040070C</v>
      </c>
      <c r="D145" s="14" t="s">
        <v>345</v>
      </c>
      <c r="E145" t="s">
        <v>202</v>
      </c>
    </row>
    <row r="146" spans="2:5" x14ac:dyDescent="0.3">
      <c r="B146">
        <f t="shared" si="4"/>
        <v>4196112</v>
      </c>
      <c r="C146" t="str">
        <f>"0x"&amp;DEC2HEX(B146,8)</f>
        <v>0x00400710</v>
      </c>
      <c r="D146" s="14" t="s">
        <v>286</v>
      </c>
      <c r="E146" t="s">
        <v>124</v>
      </c>
    </row>
    <row r="147" spans="2:5" x14ac:dyDescent="0.3">
      <c r="B147">
        <f t="shared" si="4"/>
        <v>4196116</v>
      </c>
      <c r="C147" t="str">
        <f>"0x"&amp;DEC2HEX(B147,8)</f>
        <v>0x00400714</v>
      </c>
      <c r="D147" s="14" t="s">
        <v>287</v>
      </c>
      <c r="E147" t="s">
        <v>125</v>
      </c>
    </row>
    <row r="148" spans="2:5" x14ac:dyDescent="0.3">
      <c r="B148">
        <f t="shared" si="4"/>
        <v>4196120</v>
      </c>
      <c r="C148" t="str">
        <f>"0x"&amp;DEC2HEX(B148,8)</f>
        <v>0x00400718</v>
      </c>
      <c r="D148" s="14" t="s">
        <v>281</v>
      </c>
      <c r="E148" t="s">
        <v>116</v>
      </c>
    </row>
    <row r="149" spans="2:5" x14ac:dyDescent="0.3">
      <c r="B149">
        <f t="shared" si="4"/>
        <v>4196124</v>
      </c>
      <c r="C149" t="str">
        <f>"0x"&amp;DEC2HEX(B149,8)</f>
        <v>0x0040071C</v>
      </c>
      <c r="D149" s="14" t="s">
        <v>346</v>
      </c>
      <c r="E149" t="s">
        <v>203</v>
      </c>
    </row>
    <row r="150" spans="2:5" x14ac:dyDescent="0.3">
      <c r="B150">
        <f t="shared" si="4"/>
        <v>4196128</v>
      </c>
      <c r="C150" t="str">
        <f>"0x"&amp;DEC2HEX(B150,8)</f>
        <v>0x00400720</v>
      </c>
      <c r="D150" s="14" t="s">
        <v>347</v>
      </c>
      <c r="E150" t="s">
        <v>204</v>
      </c>
    </row>
    <row r="151" spans="2:5" x14ac:dyDescent="0.3">
      <c r="B151">
        <f t="shared" si="4"/>
        <v>4196132</v>
      </c>
      <c r="C151" t="str">
        <f>"0x"&amp;DEC2HEX(B151,8)</f>
        <v>0x00400724</v>
      </c>
      <c r="D151" s="14" t="s">
        <v>405</v>
      </c>
      <c r="E151" t="s">
        <v>120</v>
      </c>
    </row>
    <row r="152" spans="2:5" x14ac:dyDescent="0.3">
      <c r="B152">
        <f t="shared" si="4"/>
        <v>4196136</v>
      </c>
      <c r="C152" t="str">
        <f>"0x"&amp;DEC2HEX(B152,8)</f>
        <v>0x00400728</v>
      </c>
      <c r="D152" s="14" t="s">
        <v>348</v>
      </c>
      <c r="E152" t="s">
        <v>205</v>
      </c>
    </row>
    <row r="153" spans="2:5" x14ac:dyDescent="0.3">
      <c r="B153">
        <f t="shared" si="4"/>
        <v>4196140</v>
      </c>
      <c r="C153" t="str">
        <f>"0x"&amp;DEC2HEX(B153,8)</f>
        <v>0x0040072C</v>
      </c>
      <c r="D153" s="14" t="s">
        <v>349</v>
      </c>
      <c r="E153" t="s">
        <v>206</v>
      </c>
    </row>
    <row r="154" spans="2:5" x14ac:dyDescent="0.3">
      <c r="B154">
        <f t="shared" si="4"/>
        <v>4196144</v>
      </c>
      <c r="C154" t="str">
        <f>"0x"&amp;DEC2HEX(B154,8)</f>
        <v>0x00400730</v>
      </c>
      <c r="D154" s="14" t="s">
        <v>426</v>
      </c>
      <c r="E154" t="s">
        <v>207</v>
      </c>
    </row>
    <row r="155" spans="2:5" x14ac:dyDescent="0.3">
      <c r="B155">
        <f t="shared" si="4"/>
        <v>4196148</v>
      </c>
      <c r="C155" t="str">
        <f>"0x"&amp;DEC2HEX(B155,8)</f>
        <v>0x00400734</v>
      </c>
      <c r="D155" s="14" t="s">
        <v>427</v>
      </c>
      <c r="E155" t="s">
        <v>208</v>
      </c>
    </row>
    <row r="156" spans="2:5" x14ac:dyDescent="0.3">
      <c r="B156">
        <f t="shared" si="4"/>
        <v>4196152</v>
      </c>
      <c r="C156" t="str">
        <f>"0x"&amp;DEC2HEX(B156,8)</f>
        <v>0x00400738</v>
      </c>
      <c r="D156" s="14" t="s">
        <v>350</v>
      </c>
      <c r="E156" t="s">
        <v>209</v>
      </c>
    </row>
    <row r="157" spans="2:5" x14ac:dyDescent="0.3">
      <c r="B157">
        <f t="shared" si="4"/>
        <v>4196156</v>
      </c>
      <c r="C157" t="str">
        <f>"0x"&amp;DEC2HEX(B157,8)</f>
        <v>0x0040073C</v>
      </c>
      <c r="D157" s="14" t="s">
        <v>351</v>
      </c>
      <c r="E157" t="s">
        <v>210</v>
      </c>
    </row>
    <row r="158" spans="2:5" x14ac:dyDescent="0.3">
      <c r="B158">
        <f t="shared" si="4"/>
        <v>4196160</v>
      </c>
      <c r="C158" t="str">
        <f>"0x"&amp;DEC2HEX(B158,8)</f>
        <v>0x00400740</v>
      </c>
      <c r="D158" s="14" t="s">
        <v>350</v>
      </c>
      <c r="E158" t="s">
        <v>209</v>
      </c>
    </row>
    <row r="159" spans="2:5" x14ac:dyDescent="0.3">
      <c r="B159">
        <f t="shared" si="4"/>
        <v>4196164</v>
      </c>
      <c r="C159" t="str">
        <f>"0x"&amp;DEC2HEX(B159,8)</f>
        <v>0x00400744</v>
      </c>
      <c r="D159" s="14" t="s">
        <v>428</v>
      </c>
      <c r="E159" t="s">
        <v>211</v>
      </c>
    </row>
    <row r="160" spans="2:5" x14ac:dyDescent="0.3">
      <c r="B160">
        <f t="shared" si="4"/>
        <v>4196168</v>
      </c>
      <c r="C160" t="str">
        <f>"0x"&amp;DEC2HEX(B160,8)</f>
        <v>0x00400748</v>
      </c>
      <c r="D160" s="14" t="s">
        <v>352</v>
      </c>
      <c r="E160" t="s">
        <v>212</v>
      </c>
    </row>
    <row r="161" spans="2:5" x14ac:dyDescent="0.3">
      <c r="B161">
        <f t="shared" si="4"/>
        <v>4196172</v>
      </c>
      <c r="C161" t="str">
        <f>"0x"&amp;DEC2HEX(B161,8)</f>
        <v>0x0040074C</v>
      </c>
      <c r="D161" s="14" t="s">
        <v>350</v>
      </c>
      <c r="E161" t="s">
        <v>209</v>
      </c>
    </row>
    <row r="162" spans="2:5" x14ac:dyDescent="0.3">
      <c r="B162">
        <f t="shared" si="4"/>
        <v>4196176</v>
      </c>
      <c r="C162" t="str">
        <f>"0x"&amp;DEC2HEX(B162,8)</f>
        <v>0x00400750</v>
      </c>
      <c r="D162" s="14" t="s">
        <v>353</v>
      </c>
      <c r="E162" t="s">
        <v>213</v>
      </c>
    </row>
    <row r="163" spans="2:5" x14ac:dyDescent="0.3">
      <c r="B163">
        <f t="shared" si="4"/>
        <v>4196180</v>
      </c>
      <c r="C163" t="str">
        <f>"0x"&amp;DEC2HEX(B163,8)</f>
        <v>0x00400754</v>
      </c>
      <c r="D163" s="14" t="s">
        <v>354</v>
      </c>
      <c r="E163" t="s">
        <v>214</v>
      </c>
    </row>
    <row r="164" spans="2:5" x14ac:dyDescent="0.3">
      <c r="B164">
        <f t="shared" si="4"/>
        <v>4196184</v>
      </c>
      <c r="C164" t="str">
        <f>"0x"&amp;DEC2HEX(B164,8)</f>
        <v>0x00400758</v>
      </c>
      <c r="D164" s="14" t="s">
        <v>405</v>
      </c>
      <c r="E164" t="s">
        <v>120</v>
      </c>
    </row>
    <row r="165" spans="2:5" x14ac:dyDescent="0.3">
      <c r="B165">
        <f t="shared" si="4"/>
        <v>4196188</v>
      </c>
      <c r="C165" t="str">
        <f>"0x"&amp;DEC2HEX(B165,8)</f>
        <v>0x0040075C</v>
      </c>
      <c r="D165" s="14" t="s">
        <v>355</v>
      </c>
      <c r="E165" t="s">
        <v>215</v>
      </c>
    </row>
    <row r="166" spans="2:5" x14ac:dyDescent="0.3">
      <c r="B166">
        <f t="shared" si="4"/>
        <v>4196192</v>
      </c>
      <c r="C166" t="str">
        <f>"0x"&amp;DEC2HEX(B166,8)</f>
        <v>0x00400760</v>
      </c>
      <c r="D166" s="14" t="s">
        <v>356</v>
      </c>
      <c r="E166" t="s">
        <v>216</v>
      </c>
    </row>
    <row r="167" spans="2:5" x14ac:dyDescent="0.3">
      <c r="B167">
        <f t="shared" si="4"/>
        <v>4196196</v>
      </c>
      <c r="C167" t="str">
        <f>"0x"&amp;DEC2HEX(B167,8)</f>
        <v>0x00400764</v>
      </c>
      <c r="D167" s="14" t="s">
        <v>357</v>
      </c>
      <c r="E167" t="s">
        <v>217</v>
      </c>
    </row>
    <row r="168" spans="2:5" x14ac:dyDescent="0.3">
      <c r="B168">
        <f t="shared" si="4"/>
        <v>4196200</v>
      </c>
      <c r="C168" t="str">
        <f>"0x"&amp;DEC2HEX(B168,8)</f>
        <v>0x00400768</v>
      </c>
      <c r="D168" s="14" t="s">
        <v>405</v>
      </c>
      <c r="E168" t="s">
        <v>120</v>
      </c>
    </row>
    <row r="169" spans="2:5" x14ac:dyDescent="0.3">
      <c r="B169">
        <f t="shared" si="4"/>
        <v>4196204</v>
      </c>
      <c r="C169" t="str">
        <f>"0x"&amp;DEC2HEX(B169,8)</f>
        <v>0x0040076C</v>
      </c>
      <c r="D169" s="14" t="s">
        <v>358</v>
      </c>
      <c r="E169" t="s">
        <v>218</v>
      </c>
    </row>
    <row r="170" spans="2:5" x14ac:dyDescent="0.3">
      <c r="B170">
        <f t="shared" si="4"/>
        <v>4196208</v>
      </c>
      <c r="C170" t="str">
        <f>"0x"&amp;DEC2HEX(B170,8)</f>
        <v>0x00400770</v>
      </c>
      <c r="D170" s="14" t="s">
        <v>429</v>
      </c>
      <c r="E170" t="s">
        <v>219</v>
      </c>
    </row>
    <row r="171" spans="2:5" x14ac:dyDescent="0.3">
      <c r="B171">
        <f t="shared" si="4"/>
        <v>4196212</v>
      </c>
      <c r="C171" t="str">
        <f>"0x"&amp;DEC2HEX(B171,8)</f>
        <v>0x00400774</v>
      </c>
      <c r="D171" s="14" t="s">
        <v>359</v>
      </c>
      <c r="E171" t="s">
        <v>220</v>
      </c>
    </row>
    <row r="172" spans="2:5" x14ac:dyDescent="0.3">
      <c r="B172">
        <f t="shared" si="4"/>
        <v>4196216</v>
      </c>
      <c r="C172" t="str">
        <f>"0x"&amp;DEC2HEX(B172,8)</f>
        <v>0x00400778</v>
      </c>
      <c r="D172" s="14" t="s">
        <v>360</v>
      </c>
      <c r="E172" t="s">
        <v>221</v>
      </c>
    </row>
    <row r="173" spans="2:5" x14ac:dyDescent="0.3">
      <c r="B173">
        <f t="shared" si="4"/>
        <v>4196220</v>
      </c>
      <c r="C173" t="str">
        <f>"0x"&amp;DEC2HEX(B173,8)</f>
        <v>0x0040077C</v>
      </c>
      <c r="D173" s="14" t="s">
        <v>361</v>
      </c>
      <c r="E173" t="s">
        <v>222</v>
      </c>
    </row>
    <row r="174" spans="2:5" x14ac:dyDescent="0.3">
      <c r="B174">
        <f t="shared" si="4"/>
        <v>4196224</v>
      </c>
      <c r="C174" t="str">
        <f>"0x"&amp;DEC2HEX(B174,8)</f>
        <v>0x00400780</v>
      </c>
      <c r="D174" s="14" t="s">
        <v>362</v>
      </c>
      <c r="E174" t="s">
        <v>223</v>
      </c>
    </row>
    <row r="175" spans="2:5" x14ac:dyDescent="0.3">
      <c r="B175">
        <f t="shared" si="4"/>
        <v>4196228</v>
      </c>
      <c r="C175" t="str">
        <f>"0x"&amp;DEC2HEX(B175,8)</f>
        <v>0x00400784</v>
      </c>
      <c r="D175" s="14" t="s">
        <v>408</v>
      </c>
      <c r="E175" t="s">
        <v>130</v>
      </c>
    </row>
    <row r="176" spans="2:5" x14ac:dyDescent="0.3">
      <c r="B176">
        <f t="shared" si="4"/>
        <v>4196232</v>
      </c>
      <c r="C176" t="str">
        <f>"0x"&amp;DEC2HEX(B176,8)</f>
        <v>0x00400788</v>
      </c>
      <c r="D176" s="14" t="s">
        <v>405</v>
      </c>
      <c r="E176" t="s">
        <v>120</v>
      </c>
    </row>
    <row r="177" spans="2:5" x14ac:dyDescent="0.3">
      <c r="B177">
        <f t="shared" si="4"/>
        <v>4196236</v>
      </c>
      <c r="C177" t="str">
        <f>"0x"&amp;DEC2HEX(B177,8)</f>
        <v>0x0040078C</v>
      </c>
      <c r="D177" s="14" t="s">
        <v>405</v>
      </c>
      <c r="E177" t="s">
        <v>120</v>
      </c>
    </row>
    <row r="178" spans="2:5" x14ac:dyDescent="0.3">
      <c r="B178">
        <f t="shared" si="4"/>
        <v>4196240</v>
      </c>
      <c r="C178" t="str">
        <f>"0x"&amp;DEC2HEX(B178,8)</f>
        <v>0x00400790</v>
      </c>
      <c r="D178" s="14" t="s">
        <v>363</v>
      </c>
      <c r="E178" t="s">
        <v>224</v>
      </c>
    </row>
    <row r="179" spans="2:5" x14ac:dyDescent="0.3">
      <c r="B179">
        <f t="shared" si="4"/>
        <v>4196244</v>
      </c>
      <c r="C179" t="str">
        <f>"0x"&amp;DEC2HEX(B179,8)</f>
        <v>0x00400794</v>
      </c>
      <c r="D179" s="14" t="s">
        <v>364</v>
      </c>
      <c r="E179" t="s">
        <v>225</v>
      </c>
    </row>
    <row r="180" spans="2:5" x14ac:dyDescent="0.3">
      <c r="B180">
        <f t="shared" si="4"/>
        <v>4196248</v>
      </c>
      <c r="C180" t="str">
        <f>"0x"&amp;DEC2HEX(B180,8)</f>
        <v>0x00400798</v>
      </c>
      <c r="D180" s="14" t="s">
        <v>345</v>
      </c>
      <c r="E180" t="s">
        <v>202</v>
      </c>
    </row>
    <row r="181" spans="2:5" x14ac:dyDescent="0.3">
      <c r="B181">
        <f t="shared" si="4"/>
        <v>4196252</v>
      </c>
      <c r="C181" t="str">
        <f>"0x"&amp;DEC2HEX(B181,8)</f>
        <v>0x0040079C</v>
      </c>
      <c r="D181" s="14" t="s">
        <v>306</v>
      </c>
      <c r="E181" t="s">
        <v>148</v>
      </c>
    </row>
    <row r="182" spans="2:5" x14ac:dyDescent="0.3">
      <c r="B182">
        <f t="shared" si="4"/>
        <v>4196256</v>
      </c>
      <c r="C182" t="str">
        <f>"0x"&amp;DEC2HEX(B182,8)</f>
        <v>0x004007A0</v>
      </c>
      <c r="D182" s="14" t="s">
        <v>365</v>
      </c>
      <c r="E182" t="s">
        <v>226</v>
      </c>
    </row>
    <row r="183" spans="2:5" x14ac:dyDescent="0.3">
      <c r="B183">
        <f t="shared" si="4"/>
        <v>4196260</v>
      </c>
      <c r="C183" t="str">
        <f>"0x"&amp;DEC2HEX(B183,8)</f>
        <v>0x004007A4</v>
      </c>
      <c r="D183" s="14" t="s">
        <v>366</v>
      </c>
      <c r="E183" t="s">
        <v>227</v>
      </c>
    </row>
    <row r="184" spans="2:5" x14ac:dyDescent="0.3">
      <c r="B184">
        <f t="shared" si="4"/>
        <v>4196264</v>
      </c>
      <c r="C184" t="str">
        <f>"0x"&amp;DEC2HEX(B184,8)</f>
        <v>0x004007A8</v>
      </c>
      <c r="D184" s="14" t="s">
        <v>306</v>
      </c>
      <c r="E184" t="s">
        <v>148</v>
      </c>
    </row>
    <row r="185" spans="2:5" x14ac:dyDescent="0.3">
      <c r="B185">
        <f t="shared" si="4"/>
        <v>4196268</v>
      </c>
      <c r="C185" t="str">
        <f>"0x"&amp;DEC2HEX(B185,8)</f>
        <v>0x004007AC</v>
      </c>
      <c r="D185" s="14" t="s">
        <v>367</v>
      </c>
      <c r="E185" t="s">
        <v>228</v>
      </c>
    </row>
    <row r="186" spans="2:5" x14ac:dyDescent="0.3">
      <c r="B186">
        <f t="shared" si="4"/>
        <v>4196272</v>
      </c>
      <c r="C186" t="str">
        <f>"0x"&amp;DEC2HEX(B186,8)</f>
        <v>0x004007B0</v>
      </c>
      <c r="D186" s="14" t="s">
        <v>366</v>
      </c>
      <c r="E186" t="s">
        <v>227</v>
      </c>
    </row>
    <row r="187" spans="2:5" x14ac:dyDescent="0.3">
      <c r="B187">
        <f t="shared" si="4"/>
        <v>4196276</v>
      </c>
      <c r="C187" t="str">
        <f>"0x"&amp;DEC2HEX(B187,8)</f>
        <v>0x004007B4</v>
      </c>
      <c r="D187" s="14" t="s">
        <v>306</v>
      </c>
      <c r="E187" t="s">
        <v>148</v>
      </c>
    </row>
    <row r="188" spans="2:5" x14ac:dyDescent="0.3">
      <c r="B188">
        <f t="shared" si="4"/>
        <v>4196280</v>
      </c>
      <c r="C188" t="str">
        <f>"0x"&amp;DEC2HEX(B188,8)</f>
        <v>0x004007B8</v>
      </c>
      <c r="D188" s="14" t="s">
        <v>368</v>
      </c>
      <c r="E188" t="s">
        <v>229</v>
      </c>
    </row>
    <row r="189" spans="2:5" x14ac:dyDescent="0.3">
      <c r="B189">
        <f t="shared" si="4"/>
        <v>4196284</v>
      </c>
      <c r="C189" t="str">
        <f>"0x"&amp;DEC2HEX(B189,8)</f>
        <v>0x004007BC</v>
      </c>
      <c r="D189" s="14" t="s">
        <v>366</v>
      </c>
      <c r="E189" t="s">
        <v>227</v>
      </c>
    </row>
    <row r="190" spans="2:5" x14ac:dyDescent="0.3">
      <c r="B190">
        <f t="shared" si="4"/>
        <v>4196288</v>
      </c>
      <c r="C190" t="str">
        <f>"0x"&amp;DEC2HEX(B190,8)</f>
        <v>0x004007C0</v>
      </c>
      <c r="D190" s="14" t="s">
        <v>306</v>
      </c>
      <c r="E190" t="s">
        <v>148</v>
      </c>
    </row>
    <row r="191" spans="2:5" x14ac:dyDescent="0.3">
      <c r="B191">
        <f t="shared" si="4"/>
        <v>4196292</v>
      </c>
      <c r="C191" t="str">
        <f>"0x"&amp;DEC2HEX(B191,8)</f>
        <v>0x004007C4</v>
      </c>
      <c r="D191" s="14" t="s">
        <v>369</v>
      </c>
      <c r="E191" t="s">
        <v>230</v>
      </c>
    </row>
    <row r="192" spans="2:5" x14ac:dyDescent="0.3">
      <c r="B192">
        <f t="shared" si="4"/>
        <v>4196296</v>
      </c>
      <c r="C192" t="str">
        <f>"0x"&amp;DEC2HEX(B192,8)</f>
        <v>0x004007C8</v>
      </c>
      <c r="D192" s="14" t="s">
        <v>366</v>
      </c>
      <c r="E192" t="s">
        <v>227</v>
      </c>
    </row>
    <row r="193" spans="2:5" x14ac:dyDescent="0.3">
      <c r="B193">
        <f t="shared" si="4"/>
        <v>4196300</v>
      </c>
      <c r="C193" t="str">
        <f>"0x"&amp;DEC2HEX(B193,8)</f>
        <v>0x004007CC</v>
      </c>
      <c r="D193" s="14" t="s">
        <v>306</v>
      </c>
      <c r="E193" t="s">
        <v>148</v>
      </c>
    </row>
    <row r="194" spans="2:5" x14ac:dyDescent="0.3">
      <c r="B194">
        <f t="shared" si="4"/>
        <v>4196304</v>
      </c>
      <c r="C194" t="str">
        <f>"0x"&amp;DEC2HEX(B194,8)</f>
        <v>0x004007D0</v>
      </c>
      <c r="D194" s="14" t="s">
        <v>370</v>
      </c>
      <c r="E194" t="s">
        <v>231</v>
      </c>
    </row>
    <row r="195" spans="2:5" x14ac:dyDescent="0.3">
      <c r="B195">
        <f t="shared" si="4"/>
        <v>4196308</v>
      </c>
      <c r="C195" t="str">
        <f>"0x"&amp;DEC2HEX(B195,8)</f>
        <v>0x004007D4</v>
      </c>
      <c r="D195" s="14" t="s">
        <v>366</v>
      </c>
      <c r="E195" t="s">
        <v>227</v>
      </c>
    </row>
    <row r="196" spans="2:5" x14ac:dyDescent="0.3">
      <c r="B196">
        <f t="shared" si="4"/>
        <v>4196312</v>
      </c>
      <c r="C196" t="str">
        <f>"0x"&amp;DEC2HEX(B196,8)</f>
        <v>0x004007D8</v>
      </c>
      <c r="D196" s="14" t="s">
        <v>405</v>
      </c>
      <c r="E196" t="s">
        <v>120</v>
      </c>
    </row>
    <row r="197" spans="2:5" x14ac:dyDescent="0.3">
      <c r="B197">
        <f t="shared" si="4"/>
        <v>4196316</v>
      </c>
      <c r="C197" t="str">
        <f>"0x"&amp;DEC2HEX(B197,8)</f>
        <v>0x004007DC</v>
      </c>
      <c r="D197" s="14" t="s">
        <v>359</v>
      </c>
      <c r="E197" t="s">
        <v>220</v>
      </c>
    </row>
    <row r="198" spans="2:5" x14ac:dyDescent="0.3">
      <c r="B198">
        <f t="shared" si="4"/>
        <v>4196320</v>
      </c>
      <c r="C198" t="str">
        <f>"0x"&amp;DEC2HEX(B198,8)</f>
        <v>0x004007E0</v>
      </c>
      <c r="D198" s="14" t="s">
        <v>371</v>
      </c>
      <c r="E198" t="s">
        <v>232</v>
      </c>
    </row>
    <row r="199" spans="2:5" x14ac:dyDescent="0.3">
      <c r="B199">
        <f t="shared" si="4"/>
        <v>4196324</v>
      </c>
      <c r="C199" t="str">
        <f>"0x"&amp;DEC2HEX(B199,8)</f>
        <v>0x004007E4</v>
      </c>
      <c r="D199" s="14" t="s">
        <v>372</v>
      </c>
      <c r="E199" t="s">
        <v>233</v>
      </c>
    </row>
    <row r="200" spans="2:5" x14ac:dyDescent="0.3">
      <c r="B200">
        <f t="shared" si="4"/>
        <v>4196328</v>
      </c>
      <c r="C200" t="str">
        <f>"0x"&amp;DEC2HEX(B200,8)</f>
        <v>0x004007E8</v>
      </c>
      <c r="D200" s="14" t="s">
        <v>408</v>
      </c>
      <c r="E200" t="s">
        <v>130</v>
      </c>
    </row>
    <row r="201" spans="2:5" x14ac:dyDescent="0.3">
      <c r="B201">
        <f t="shared" si="4"/>
        <v>4196332</v>
      </c>
      <c r="C201" t="str">
        <f>"0x"&amp;DEC2HEX(B201,8)</f>
        <v>0x004007EC</v>
      </c>
      <c r="D201" s="14" t="s">
        <v>405</v>
      </c>
      <c r="E201" t="s">
        <v>120</v>
      </c>
    </row>
    <row r="202" spans="2:5" x14ac:dyDescent="0.3">
      <c r="B202">
        <f t="shared" si="4"/>
        <v>4196336</v>
      </c>
      <c r="C202" t="str">
        <f>"0x"&amp;DEC2HEX(B202,8)</f>
        <v>0x004007F0</v>
      </c>
      <c r="D202" s="14" t="s">
        <v>363</v>
      </c>
      <c r="E202" t="s">
        <v>224</v>
      </c>
    </row>
    <row r="203" spans="2:5" x14ac:dyDescent="0.3">
      <c r="B203">
        <f t="shared" ref="B203:B266" si="5">B202+4</f>
        <v>4196340</v>
      </c>
      <c r="C203" t="str">
        <f>"0x"&amp;DEC2HEX(B203,8)</f>
        <v>0x004007F4</v>
      </c>
      <c r="D203" s="14" t="s">
        <v>364</v>
      </c>
      <c r="E203" t="s">
        <v>225</v>
      </c>
    </row>
    <row r="204" spans="2:5" x14ac:dyDescent="0.3">
      <c r="B204">
        <f t="shared" si="5"/>
        <v>4196344</v>
      </c>
      <c r="C204" t="str">
        <f>"0x"&amp;DEC2HEX(B204,8)</f>
        <v>0x004007F8</v>
      </c>
      <c r="D204" s="14" t="s">
        <v>345</v>
      </c>
      <c r="E204" t="s">
        <v>202</v>
      </c>
    </row>
    <row r="205" spans="2:5" x14ac:dyDescent="0.3">
      <c r="B205">
        <f t="shared" si="5"/>
        <v>4196348</v>
      </c>
      <c r="C205" t="str">
        <f>"0x"&amp;DEC2HEX(B205,8)</f>
        <v>0x004007FC</v>
      </c>
      <c r="D205" s="14" t="s">
        <v>306</v>
      </c>
      <c r="E205" t="s">
        <v>148</v>
      </c>
    </row>
    <row r="206" spans="2:5" x14ac:dyDescent="0.3">
      <c r="B206">
        <f t="shared" si="5"/>
        <v>4196352</v>
      </c>
      <c r="C206" t="str">
        <f>"0x"&amp;DEC2HEX(B206,8)</f>
        <v>0x00400800</v>
      </c>
      <c r="D206" s="14" t="s">
        <v>365</v>
      </c>
      <c r="E206" t="s">
        <v>226</v>
      </c>
    </row>
    <row r="207" spans="2:5" x14ac:dyDescent="0.3">
      <c r="B207">
        <f t="shared" si="5"/>
        <v>4196356</v>
      </c>
      <c r="C207" t="str">
        <f>"0x"&amp;DEC2HEX(B207,8)</f>
        <v>0x00400804</v>
      </c>
      <c r="D207" s="14" t="s">
        <v>373</v>
      </c>
      <c r="E207" t="s">
        <v>234</v>
      </c>
    </row>
    <row r="208" spans="2:5" x14ac:dyDescent="0.3">
      <c r="B208">
        <f t="shared" si="5"/>
        <v>4196360</v>
      </c>
      <c r="C208" t="str">
        <f>"0x"&amp;DEC2HEX(B208,8)</f>
        <v>0x00400808</v>
      </c>
      <c r="D208" s="14" t="s">
        <v>430</v>
      </c>
      <c r="E208" t="s">
        <v>235</v>
      </c>
    </row>
    <row r="209" spans="2:5" x14ac:dyDescent="0.3">
      <c r="B209">
        <f t="shared" si="5"/>
        <v>4196364</v>
      </c>
      <c r="C209" t="str">
        <f>"0x"&amp;DEC2HEX(B209,8)</f>
        <v>0x0040080C</v>
      </c>
      <c r="D209" s="14" t="s">
        <v>374</v>
      </c>
      <c r="E209" t="s">
        <v>236</v>
      </c>
    </row>
    <row r="210" spans="2:5" x14ac:dyDescent="0.3">
      <c r="B210">
        <f t="shared" si="5"/>
        <v>4196368</v>
      </c>
      <c r="C210" t="str">
        <f>"0x"&amp;DEC2HEX(B210,8)</f>
        <v>0x00400810</v>
      </c>
      <c r="D210" s="14" t="s">
        <v>405</v>
      </c>
      <c r="E210" t="s">
        <v>120</v>
      </c>
    </row>
    <row r="211" spans="2:5" x14ac:dyDescent="0.3">
      <c r="B211">
        <f t="shared" si="5"/>
        <v>4196372</v>
      </c>
      <c r="C211" t="str">
        <f>"0x"&amp;DEC2HEX(B211,8)</f>
        <v>0x00400814</v>
      </c>
      <c r="D211" s="14" t="s">
        <v>359</v>
      </c>
      <c r="E211" t="s">
        <v>220</v>
      </c>
    </row>
    <row r="212" spans="2:5" x14ac:dyDescent="0.3">
      <c r="B212">
        <f t="shared" si="5"/>
        <v>4196376</v>
      </c>
      <c r="C212" t="str">
        <f>"0x"&amp;DEC2HEX(B212,8)</f>
        <v>0x00400818</v>
      </c>
      <c r="D212" s="14" t="s">
        <v>371</v>
      </c>
      <c r="E212" t="s">
        <v>232</v>
      </c>
    </row>
    <row r="213" spans="2:5" x14ac:dyDescent="0.3">
      <c r="B213">
        <f t="shared" si="5"/>
        <v>4196380</v>
      </c>
      <c r="C213" t="str">
        <f>"0x"&amp;DEC2HEX(B213,8)</f>
        <v>0x0040081C</v>
      </c>
      <c r="D213" s="14" t="s">
        <v>372</v>
      </c>
      <c r="E213" t="s">
        <v>233</v>
      </c>
    </row>
    <row r="214" spans="2:5" x14ac:dyDescent="0.3">
      <c r="B214">
        <f t="shared" si="5"/>
        <v>4196384</v>
      </c>
      <c r="C214" t="str">
        <f>"0x"&amp;DEC2HEX(B214,8)</f>
        <v>0x00400820</v>
      </c>
      <c r="D214" s="14" t="s">
        <v>408</v>
      </c>
      <c r="E214" t="s">
        <v>130</v>
      </c>
    </row>
    <row r="215" spans="2:5" x14ac:dyDescent="0.3">
      <c r="B215">
        <f t="shared" si="5"/>
        <v>4196388</v>
      </c>
      <c r="C215" t="str">
        <f>"0x"&amp;DEC2HEX(B215,8)</f>
        <v>0x00400824</v>
      </c>
      <c r="D215" s="14" t="s">
        <v>405</v>
      </c>
      <c r="E215" t="s">
        <v>120</v>
      </c>
    </row>
    <row r="216" spans="2:5" x14ac:dyDescent="0.3">
      <c r="B216">
        <f t="shared" si="5"/>
        <v>4196392</v>
      </c>
      <c r="C216" t="str">
        <f>"0x"&amp;DEC2HEX(B216,8)</f>
        <v>0x00400828</v>
      </c>
      <c r="D216" s="14" t="s">
        <v>363</v>
      </c>
      <c r="E216" t="s">
        <v>224</v>
      </c>
    </row>
    <row r="217" spans="2:5" x14ac:dyDescent="0.3">
      <c r="B217">
        <f t="shared" si="5"/>
        <v>4196396</v>
      </c>
      <c r="C217" t="str">
        <f>"0x"&amp;DEC2HEX(B217,8)</f>
        <v>0x0040082C</v>
      </c>
      <c r="D217" s="14" t="s">
        <v>364</v>
      </c>
      <c r="E217" t="s">
        <v>225</v>
      </c>
    </row>
    <row r="218" spans="2:5" x14ac:dyDescent="0.3">
      <c r="B218">
        <f t="shared" si="5"/>
        <v>4196400</v>
      </c>
      <c r="C218" t="str">
        <f>"0x"&amp;DEC2HEX(B218,8)</f>
        <v>0x00400830</v>
      </c>
      <c r="D218" s="14" t="s">
        <v>345</v>
      </c>
      <c r="E218" t="s">
        <v>202</v>
      </c>
    </row>
    <row r="219" spans="2:5" x14ac:dyDescent="0.3">
      <c r="B219">
        <f t="shared" si="5"/>
        <v>4196404</v>
      </c>
      <c r="C219" t="str">
        <f>"0x"&amp;DEC2HEX(B219,8)</f>
        <v>0x00400834</v>
      </c>
      <c r="D219" s="14" t="s">
        <v>375</v>
      </c>
      <c r="E219" t="s">
        <v>237</v>
      </c>
    </row>
    <row r="220" spans="2:5" x14ac:dyDescent="0.3">
      <c r="B220">
        <f t="shared" si="5"/>
        <v>4196408</v>
      </c>
      <c r="C220" t="str">
        <f>"0x"&amp;DEC2HEX(B220,8)</f>
        <v>0x00400838</v>
      </c>
      <c r="D220" s="14" t="s">
        <v>376</v>
      </c>
      <c r="E220" t="s">
        <v>238</v>
      </c>
    </row>
    <row r="221" spans="2:5" x14ac:dyDescent="0.3">
      <c r="B221">
        <f t="shared" si="5"/>
        <v>4196412</v>
      </c>
      <c r="C221" t="str">
        <f>"0x"&amp;DEC2HEX(B221,8)</f>
        <v>0x0040083C</v>
      </c>
      <c r="D221" s="14" t="s">
        <v>377</v>
      </c>
      <c r="E221" t="s">
        <v>239</v>
      </c>
    </row>
    <row r="222" spans="2:5" x14ac:dyDescent="0.3">
      <c r="B222">
        <f t="shared" si="5"/>
        <v>4196416</v>
      </c>
      <c r="C222" t="str">
        <f>"0x"&amp;DEC2HEX(B222,8)</f>
        <v>0x00400840</v>
      </c>
      <c r="D222" s="14" t="s">
        <v>306</v>
      </c>
      <c r="E222" t="s">
        <v>148</v>
      </c>
    </row>
    <row r="223" spans="2:5" x14ac:dyDescent="0.3">
      <c r="B223">
        <f t="shared" si="5"/>
        <v>4196420</v>
      </c>
      <c r="C223" t="str">
        <f>"0x"&amp;DEC2HEX(B223,8)</f>
        <v>0x00400844</v>
      </c>
      <c r="D223" s="14" t="s">
        <v>367</v>
      </c>
      <c r="E223" t="s">
        <v>228</v>
      </c>
    </row>
    <row r="224" spans="2:5" x14ac:dyDescent="0.3">
      <c r="B224">
        <f t="shared" si="5"/>
        <v>4196424</v>
      </c>
      <c r="C224" t="str">
        <f>"0x"&amp;DEC2HEX(B224,8)</f>
        <v>0x00400848</v>
      </c>
      <c r="D224" s="14" t="s">
        <v>378</v>
      </c>
      <c r="E224" t="s">
        <v>240</v>
      </c>
    </row>
    <row r="225" spans="2:5" x14ac:dyDescent="0.3">
      <c r="B225">
        <f t="shared" si="5"/>
        <v>4196428</v>
      </c>
      <c r="C225" t="str">
        <f>"0x"&amp;DEC2HEX(B225,8)</f>
        <v>0x0040084C</v>
      </c>
      <c r="D225" s="14" t="s">
        <v>374</v>
      </c>
      <c r="E225" t="s">
        <v>236</v>
      </c>
    </row>
    <row r="226" spans="2:5" x14ac:dyDescent="0.3">
      <c r="B226">
        <f t="shared" si="5"/>
        <v>4196432</v>
      </c>
      <c r="C226" t="str">
        <f>"0x"&amp;DEC2HEX(B226,8)</f>
        <v>0x00400850</v>
      </c>
      <c r="D226" s="14" t="s">
        <v>306</v>
      </c>
      <c r="E226" t="s">
        <v>148</v>
      </c>
    </row>
    <row r="227" spans="2:5" x14ac:dyDescent="0.3">
      <c r="B227">
        <f t="shared" si="5"/>
        <v>4196436</v>
      </c>
      <c r="C227" t="str">
        <f>"0x"&amp;DEC2HEX(B227,8)</f>
        <v>0x00400854</v>
      </c>
      <c r="D227" s="14" t="s">
        <v>368</v>
      </c>
      <c r="E227" t="s">
        <v>229</v>
      </c>
    </row>
    <row r="228" spans="2:5" x14ac:dyDescent="0.3">
      <c r="B228">
        <f t="shared" si="5"/>
        <v>4196440</v>
      </c>
      <c r="C228" t="str">
        <f>"0x"&amp;DEC2HEX(B228,8)</f>
        <v>0x00400858</v>
      </c>
      <c r="D228" s="14" t="s">
        <v>379</v>
      </c>
      <c r="E228" t="s">
        <v>241</v>
      </c>
    </row>
    <row r="229" spans="2:5" x14ac:dyDescent="0.3">
      <c r="B229">
        <f t="shared" si="5"/>
        <v>4196444</v>
      </c>
      <c r="C229" t="str">
        <f>"0x"&amp;DEC2HEX(B229,8)</f>
        <v>0x0040085C</v>
      </c>
      <c r="D229" s="14" t="s">
        <v>374</v>
      </c>
      <c r="E229" t="s">
        <v>236</v>
      </c>
    </row>
    <row r="230" spans="2:5" x14ac:dyDescent="0.3">
      <c r="B230">
        <f t="shared" si="5"/>
        <v>4196448</v>
      </c>
      <c r="C230" t="str">
        <f>"0x"&amp;DEC2HEX(B230,8)</f>
        <v>0x00400860</v>
      </c>
      <c r="D230" s="14" t="s">
        <v>306</v>
      </c>
      <c r="E230" t="s">
        <v>148</v>
      </c>
    </row>
    <row r="231" spans="2:5" x14ac:dyDescent="0.3">
      <c r="B231">
        <f t="shared" si="5"/>
        <v>4196452</v>
      </c>
      <c r="C231" t="str">
        <f>"0x"&amp;DEC2HEX(B231,8)</f>
        <v>0x00400864</v>
      </c>
      <c r="D231" s="14" t="s">
        <v>369</v>
      </c>
      <c r="E231" t="s">
        <v>230</v>
      </c>
    </row>
    <row r="232" spans="2:5" x14ac:dyDescent="0.3">
      <c r="B232">
        <f t="shared" si="5"/>
        <v>4196456</v>
      </c>
      <c r="C232" t="str">
        <f>"0x"&amp;DEC2HEX(B232,8)</f>
        <v>0x00400868</v>
      </c>
      <c r="D232" s="14" t="s">
        <v>380</v>
      </c>
      <c r="E232" t="s">
        <v>242</v>
      </c>
    </row>
    <row r="233" spans="2:5" x14ac:dyDescent="0.3">
      <c r="B233">
        <f t="shared" si="5"/>
        <v>4196460</v>
      </c>
      <c r="C233" t="str">
        <f>"0x"&amp;DEC2HEX(B233,8)</f>
        <v>0x0040086C</v>
      </c>
      <c r="D233" s="14" t="s">
        <v>374</v>
      </c>
      <c r="E233" t="s">
        <v>236</v>
      </c>
    </row>
    <row r="234" spans="2:5" x14ac:dyDescent="0.3">
      <c r="B234">
        <f t="shared" si="5"/>
        <v>4196464</v>
      </c>
      <c r="C234" t="str">
        <f>"0x"&amp;DEC2HEX(B234,8)</f>
        <v>0x00400870</v>
      </c>
      <c r="D234" s="14" t="s">
        <v>306</v>
      </c>
      <c r="E234" t="s">
        <v>148</v>
      </c>
    </row>
    <row r="235" spans="2:5" x14ac:dyDescent="0.3">
      <c r="B235">
        <f t="shared" si="5"/>
        <v>4196468</v>
      </c>
      <c r="C235" t="str">
        <f>"0x"&amp;DEC2HEX(B235,8)</f>
        <v>0x00400874</v>
      </c>
      <c r="D235" s="14" t="s">
        <v>370</v>
      </c>
      <c r="E235" t="s">
        <v>231</v>
      </c>
    </row>
    <row r="236" spans="2:5" x14ac:dyDescent="0.3">
      <c r="B236">
        <f t="shared" si="5"/>
        <v>4196472</v>
      </c>
      <c r="C236" t="str">
        <f>"0x"&amp;DEC2HEX(B236,8)</f>
        <v>0x00400878</v>
      </c>
      <c r="D236" s="14" t="s">
        <v>431</v>
      </c>
      <c r="E236" t="s">
        <v>243</v>
      </c>
    </row>
    <row r="237" spans="2:5" x14ac:dyDescent="0.3">
      <c r="B237">
        <f t="shared" si="5"/>
        <v>4196476</v>
      </c>
      <c r="C237" t="str">
        <f>"0x"&amp;DEC2HEX(B237,8)</f>
        <v>0x0040087C</v>
      </c>
      <c r="D237" s="14" t="s">
        <v>374</v>
      </c>
      <c r="E237" t="s">
        <v>236</v>
      </c>
    </row>
    <row r="238" spans="2:5" x14ac:dyDescent="0.3">
      <c r="B238">
        <f t="shared" si="5"/>
        <v>4196480</v>
      </c>
      <c r="C238" t="str">
        <f>"0x"&amp;DEC2HEX(B238,8)</f>
        <v>0x00400880</v>
      </c>
      <c r="D238" s="14" t="s">
        <v>405</v>
      </c>
      <c r="E238" t="s">
        <v>120</v>
      </c>
    </row>
    <row r="239" spans="2:5" x14ac:dyDescent="0.3">
      <c r="B239">
        <f t="shared" si="5"/>
        <v>4196484</v>
      </c>
      <c r="C239" t="str">
        <f>"0x"&amp;DEC2HEX(B239,8)</f>
        <v>0x00400884</v>
      </c>
      <c r="D239" s="14" t="s">
        <v>359</v>
      </c>
      <c r="E239" t="s">
        <v>220</v>
      </c>
    </row>
    <row r="240" spans="2:5" x14ac:dyDescent="0.3">
      <c r="B240">
        <f t="shared" si="5"/>
        <v>4196488</v>
      </c>
      <c r="C240" t="str">
        <f>"0x"&amp;DEC2HEX(B240,8)</f>
        <v>0x00400888</v>
      </c>
      <c r="D240" s="14" t="s">
        <v>371</v>
      </c>
      <c r="E240" t="s">
        <v>232</v>
      </c>
    </row>
    <row r="241" spans="2:5" x14ac:dyDescent="0.3">
      <c r="B241">
        <f t="shared" si="5"/>
        <v>4196492</v>
      </c>
      <c r="C241" t="str">
        <f>"0x"&amp;DEC2HEX(B241,8)</f>
        <v>0x0040088C</v>
      </c>
      <c r="D241" s="14" t="s">
        <v>372</v>
      </c>
      <c r="E241" t="s">
        <v>233</v>
      </c>
    </row>
    <row r="242" spans="2:5" x14ac:dyDescent="0.3">
      <c r="B242">
        <f t="shared" si="5"/>
        <v>4196496</v>
      </c>
      <c r="C242" t="str">
        <f>"0x"&amp;DEC2HEX(B242,8)</f>
        <v>0x00400890</v>
      </c>
      <c r="D242" s="14" t="s">
        <v>408</v>
      </c>
      <c r="E242" t="s">
        <v>130</v>
      </c>
    </row>
    <row r="243" spans="2:5" x14ac:dyDescent="0.3">
      <c r="B243">
        <f t="shared" si="5"/>
        <v>4196500</v>
      </c>
      <c r="C243" t="str">
        <f>"0x"&amp;DEC2HEX(B243,8)</f>
        <v>0x00400894</v>
      </c>
      <c r="D243" s="14" t="s">
        <v>405</v>
      </c>
      <c r="E243" t="s">
        <v>120</v>
      </c>
    </row>
    <row r="244" spans="2:5" x14ac:dyDescent="0.3">
      <c r="B244">
        <f t="shared" si="5"/>
        <v>4196504</v>
      </c>
      <c r="C244" t="str">
        <f>"0x"&amp;DEC2HEX(B244,8)</f>
        <v>0x00400898</v>
      </c>
      <c r="D244" s="14" t="s">
        <v>280</v>
      </c>
      <c r="E244" t="s">
        <v>115</v>
      </c>
    </row>
    <row r="245" spans="2:5" x14ac:dyDescent="0.3">
      <c r="B245">
        <f t="shared" si="5"/>
        <v>4196508</v>
      </c>
      <c r="C245" t="str">
        <f>"0x"&amp;DEC2HEX(B245,8)</f>
        <v>0x0040089C</v>
      </c>
      <c r="D245" s="14" t="s">
        <v>282</v>
      </c>
      <c r="E245" t="s">
        <v>117</v>
      </c>
    </row>
    <row r="246" spans="2:5" x14ac:dyDescent="0.3">
      <c r="B246">
        <f t="shared" si="5"/>
        <v>4196512</v>
      </c>
      <c r="C246" t="str">
        <f>"0x"&amp;DEC2HEX(B246,8)</f>
        <v>0x004008A0</v>
      </c>
      <c r="D246" s="14" t="s">
        <v>381</v>
      </c>
      <c r="E246" t="s">
        <v>244</v>
      </c>
    </row>
    <row r="247" spans="2:5" x14ac:dyDescent="0.3">
      <c r="B247">
        <f t="shared" si="5"/>
        <v>4196516</v>
      </c>
      <c r="C247" t="str">
        <f>"0x"&amp;DEC2HEX(B247,8)</f>
        <v>0x004008A4</v>
      </c>
      <c r="D247" s="14" t="s">
        <v>345</v>
      </c>
      <c r="E247" t="s">
        <v>202</v>
      </c>
    </row>
    <row r="248" spans="2:5" x14ac:dyDescent="0.3">
      <c r="B248">
        <f t="shared" si="5"/>
        <v>4196520</v>
      </c>
      <c r="C248" t="str">
        <f>"0x"&amp;DEC2HEX(B248,8)</f>
        <v>0x004008A8</v>
      </c>
      <c r="D248" s="14" t="s">
        <v>286</v>
      </c>
      <c r="E248" t="s">
        <v>124</v>
      </c>
    </row>
    <row r="249" spans="2:5" x14ac:dyDescent="0.3">
      <c r="B249">
        <f t="shared" si="5"/>
        <v>4196524</v>
      </c>
      <c r="C249" t="str">
        <f>"0x"&amp;DEC2HEX(B249,8)</f>
        <v>0x004008AC</v>
      </c>
      <c r="D249" s="14" t="s">
        <v>287</v>
      </c>
      <c r="E249" t="s">
        <v>125</v>
      </c>
    </row>
    <row r="250" spans="2:5" x14ac:dyDescent="0.3">
      <c r="B250">
        <f t="shared" si="5"/>
        <v>4196528</v>
      </c>
      <c r="C250" t="str">
        <f>"0x"&amp;DEC2HEX(B250,8)</f>
        <v>0x004008B0</v>
      </c>
      <c r="D250" s="14" t="s">
        <v>281</v>
      </c>
      <c r="E250" t="s">
        <v>116</v>
      </c>
    </row>
    <row r="251" spans="2:5" x14ac:dyDescent="0.3">
      <c r="B251">
        <f t="shared" si="5"/>
        <v>4196532</v>
      </c>
      <c r="C251" t="str">
        <f>"0x"&amp;DEC2HEX(B251,8)</f>
        <v>0x004008B4</v>
      </c>
      <c r="D251" s="14" t="s">
        <v>382</v>
      </c>
      <c r="E251" t="s">
        <v>245</v>
      </c>
    </row>
    <row r="252" spans="2:5" x14ac:dyDescent="0.3">
      <c r="B252">
        <f t="shared" si="5"/>
        <v>4196536</v>
      </c>
      <c r="C252" t="str">
        <f>"0x"&amp;DEC2HEX(B252,8)</f>
        <v>0x004008B8</v>
      </c>
      <c r="D252" s="14" t="s">
        <v>405</v>
      </c>
      <c r="E252" t="s">
        <v>120</v>
      </c>
    </row>
    <row r="253" spans="2:5" x14ac:dyDescent="0.3">
      <c r="B253">
        <f t="shared" si="5"/>
        <v>4196540</v>
      </c>
      <c r="C253" t="str">
        <f>"0x"&amp;DEC2HEX(B253,8)</f>
        <v>0x004008BC</v>
      </c>
      <c r="D253" s="14" t="s">
        <v>358</v>
      </c>
      <c r="E253" t="s">
        <v>218</v>
      </c>
    </row>
    <row r="254" spans="2:5" x14ac:dyDescent="0.3">
      <c r="B254">
        <f t="shared" si="5"/>
        <v>4196544</v>
      </c>
      <c r="C254" t="str">
        <f>"0x"&amp;DEC2HEX(B254,8)</f>
        <v>0x004008C0</v>
      </c>
      <c r="D254" s="14" t="s">
        <v>383</v>
      </c>
      <c r="E254" t="s">
        <v>246</v>
      </c>
    </row>
    <row r="255" spans="2:5" x14ac:dyDescent="0.3">
      <c r="B255">
        <f t="shared" si="5"/>
        <v>4196548</v>
      </c>
      <c r="C255" t="str">
        <f>"0x"&amp;DEC2HEX(B255,8)</f>
        <v>0x004008C4</v>
      </c>
      <c r="D255" s="14" t="s">
        <v>405</v>
      </c>
      <c r="E255" t="s">
        <v>120</v>
      </c>
    </row>
    <row r="256" spans="2:5" x14ac:dyDescent="0.3">
      <c r="B256">
        <f t="shared" si="5"/>
        <v>4196552</v>
      </c>
      <c r="C256" t="str">
        <f>"0x"&amp;DEC2HEX(B256,8)</f>
        <v>0x004008C8</v>
      </c>
      <c r="D256" s="14" t="s">
        <v>358</v>
      </c>
      <c r="E256" t="s">
        <v>218</v>
      </c>
    </row>
    <row r="257" spans="2:5" x14ac:dyDescent="0.3">
      <c r="B257">
        <f t="shared" si="5"/>
        <v>4196556</v>
      </c>
      <c r="C257" t="str">
        <f>"0x"&amp;DEC2HEX(B257,8)</f>
        <v>0x004008CC</v>
      </c>
      <c r="D257" s="14" t="s">
        <v>432</v>
      </c>
      <c r="E257" t="s">
        <v>247</v>
      </c>
    </row>
    <row r="258" spans="2:5" x14ac:dyDescent="0.3">
      <c r="B258">
        <f t="shared" si="5"/>
        <v>4196560</v>
      </c>
      <c r="C258" t="str">
        <f>"0x"&amp;DEC2HEX(B258,8)</f>
        <v>0x004008D0</v>
      </c>
      <c r="D258" s="14" t="s">
        <v>384</v>
      </c>
      <c r="E258" t="s">
        <v>248</v>
      </c>
    </row>
    <row r="259" spans="2:5" x14ac:dyDescent="0.3">
      <c r="B259">
        <f t="shared" si="5"/>
        <v>4196564</v>
      </c>
      <c r="C259" t="str">
        <f>"0x"&amp;DEC2HEX(B259,8)</f>
        <v>0x004008D4</v>
      </c>
      <c r="D259" s="14" t="s">
        <v>385</v>
      </c>
      <c r="E259" t="s">
        <v>249</v>
      </c>
    </row>
    <row r="260" spans="2:5" x14ac:dyDescent="0.3">
      <c r="B260">
        <f t="shared" si="5"/>
        <v>4196568</v>
      </c>
      <c r="C260" t="str">
        <f>"0x"&amp;DEC2HEX(B260,8)</f>
        <v>0x004008D8</v>
      </c>
      <c r="D260" s="14" t="s">
        <v>386</v>
      </c>
      <c r="E260" t="s">
        <v>250</v>
      </c>
    </row>
    <row r="261" spans="2:5" x14ac:dyDescent="0.3">
      <c r="B261">
        <f t="shared" si="5"/>
        <v>4196572</v>
      </c>
      <c r="C261" t="str">
        <f>"0x"&amp;DEC2HEX(B261,8)</f>
        <v>0x004008DC</v>
      </c>
      <c r="D261" s="14" t="s">
        <v>405</v>
      </c>
      <c r="E261" t="s">
        <v>120</v>
      </c>
    </row>
    <row r="262" spans="2:5" x14ac:dyDescent="0.3">
      <c r="B262">
        <f t="shared" si="5"/>
        <v>4196576</v>
      </c>
      <c r="C262" t="str">
        <f>"0x"&amp;DEC2HEX(B262,8)</f>
        <v>0x004008E0</v>
      </c>
      <c r="D262" s="14" t="s">
        <v>358</v>
      </c>
      <c r="E262" t="s">
        <v>218</v>
      </c>
    </row>
    <row r="263" spans="2:5" x14ac:dyDescent="0.3">
      <c r="B263">
        <f t="shared" si="5"/>
        <v>4196580</v>
      </c>
      <c r="C263" t="str">
        <f>"0x"&amp;DEC2HEX(B263,8)</f>
        <v>0x004008E4</v>
      </c>
      <c r="D263" s="14" t="s">
        <v>387</v>
      </c>
      <c r="E263" t="s">
        <v>251</v>
      </c>
    </row>
    <row r="264" spans="2:5" x14ac:dyDescent="0.3">
      <c r="B264">
        <f t="shared" si="5"/>
        <v>4196584</v>
      </c>
      <c r="C264" t="str">
        <f>"0x"&amp;DEC2HEX(B264,8)</f>
        <v>0x004008E8</v>
      </c>
      <c r="D264" s="14" t="s">
        <v>388</v>
      </c>
      <c r="E264" t="s">
        <v>252</v>
      </c>
    </row>
    <row r="265" spans="2:5" x14ac:dyDescent="0.3">
      <c r="B265">
        <f t="shared" si="5"/>
        <v>4196588</v>
      </c>
      <c r="C265" t="str">
        <f>"0x"&amp;DEC2HEX(B265,8)</f>
        <v>0x004008EC</v>
      </c>
      <c r="D265" s="14" t="s">
        <v>389</v>
      </c>
      <c r="E265" t="s">
        <v>253</v>
      </c>
    </row>
    <row r="266" spans="2:5" x14ac:dyDescent="0.3">
      <c r="B266">
        <f t="shared" si="5"/>
        <v>4196592</v>
      </c>
      <c r="C266" t="str">
        <f>"0x"&amp;DEC2HEX(B266,8)</f>
        <v>0x004008F0</v>
      </c>
      <c r="D266" s="14" t="s">
        <v>356</v>
      </c>
      <c r="E266" t="s">
        <v>216</v>
      </c>
    </row>
    <row r="267" spans="2:5" x14ac:dyDescent="0.3">
      <c r="B267">
        <f t="shared" ref="B267:B330" si="6">B266+4</f>
        <v>4196596</v>
      </c>
      <c r="C267" t="str">
        <f>"0x"&amp;DEC2HEX(B267,8)</f>
        <v>0x004008F4</v>
      </c>
      <c r="D267" s="14" t="s">
        <v>285</v>
      </c>
      <c r="E267" t="s">
        <v>122</v>
      </c>
    </row>
    <row r="268" spans="2:5" x14ac:dyDescent="0.3">
      <c r="B268">
        <f t="shared" si="6"/>
        <v>4196600</v>
      </c>
      <c r="C268" t="str">
        <f>"0x"&amp;DEC2HEX(B268,8)</f>
        <v>0x004008F8</v>
      </c>
      <c r="D268" s="14" t="s">
        <v>405</v>
      </c>
      <c r="E268" t="s">
        <v>120</v>
      </c>
    </row>
    <row r="269" spans="2:5" x14ac:dyDescent="0.3">
      <c r="B269">
        <f t="shared" si="6"/>
        <v>4196604</v>
      </c>
      <c r="C269" t="str">
        <f>"0x"&amp;DEC2HEX(B269,8)</f>
        <v>0x004008FC</v>
      </c>
      <c r="D269" s="14" t="s">
        <v>358</v>
      </c>
      <c r="E269" t="s">
        <v>218</v>
      </c>
    </row>
    <row r="270" spans="2:5" x14ac:dyDescent="0.3">
      <c r="B270">
        <f t="shared" si="6"/>
        <v>4196608</v>
      </c>
      <c r="C270" t="str">
        <f>"0x"&amp;DEC2HEX(B270,8)</f>
        <v>0x00400900</v>
      </c>
      <c r="D270" s="14" t="s">
        <v>405</v>
      </c>
      <c r="E270" t="s">
        <v>120</v>
      </c>
    </row>
    <row r="271" spans="2:5" x14ac:dyDescent="0.3">
      <c r="B271">
        <f t="shared" si="6"/>
        <v>4196612</v>
      </c>
      <c r="C271" t="str">
        <f>"0x"&amp;DEC2HEX(B271,8)</f>
        <v>0x00400904</v>
      </c>
      <c r="D271" s="14" t="s">
        <v>359</v>
      </c>
      <c r="E271" t="s">
        <v>220</v>
      </c>
    </row>
    <row r="272" spans="2:5" x14ac:dyDescent="0.3">
      <c r="B272">
        <f t="shared" si="6"/>
        <v>4196616</v>
      </c>
      <c r="C272" t="str">
        <f>"0x"&amp;DEC2HEX(B272,8)</f>
        <v>0x00400908</v>
      </c>
      <c r="D272" s="14" t="s">
        <v>290</v>
      </c>
      <c r="E272" t="s">
        <v>129</v>
      </c>
    </row>
    <row r="273" spans="2:5" x14ac:dyDescent="0.3">
      <c r="B273">
        <f t="shared" si="6"/>
        <v>4196620</v>
      </c>
      <c r="C273" t="str">
        <f>"0x"&amp;DEC2HEX(B273,8)</f>
        <v>0x0040090C</v>
      </c>
      <c r="D273" s="14" t="s">
        <v>390</v>
      </c>
      <c r="E273" t="s">
        <v>254</v>
      </c>
    </row>
    <row r="274" spans="2:5" x14ac:dyDescent="0.3">
      <c r="B274">
        <f t="shared" si="6"/>
        <v>4196624</v>
      </c>
      <c r="C274" t="str">
        <f>"0x"&amp;DEC2HEX(B274,8)</f>
        <v>0x00400910</v>
      </c>
      <c r="D274" s="14" t="s">
        <v>291</v>
      </c>
      <c r="E274" t="s">
        <v>131</v>
      </c>
    </row>
    <row r="275" spans="2:5" x14ac:dyDescent="0.3">
      <c r="B275">
        <f t="shared" si="6"/>
        <v>4196628</v>
      </c>
      <c r="C275" t="str">
        <f>"0x"&amp;DEC2HEX(B275,8)</f>
        <v>0x00400914</v>
      </c>
      <c r="D275" s="14" t="s">
        <v>408</v>
      </c>
      <c r="E275" t="s">
        <v>130</v>
      </c>
    </row>
    <row r="276" spans="2:5" x14ac:dyDescent="0.3">
      <c r="B276">
        <f t="shared" si="6"/>
        <v>4196632</v>
      </c>
      <c r="C276" t="str">
        <f>"0x"&amp;DEC2HEX(B276,8)</f>
        <v>0x00400918</v>
      </c>
      <c r="D276" s="14" t="s">
        <v>405</v>
      </c>
      <c r="E276" t="s">
        <v>120</v>
      </c>
    </row>
    <row r="277" spans="2:5" x14ac:dyDescent="0.3">
      <c r="B277">
        <f t="shared" si="6"/>
        <v>4196636</v>
      </c>
      <c r="C277" t="str">
        <f>"0x"&amp;DEC2HEX(B277,8)</f>
        <v>0x0040091C</v>
      </c>
      <c r="D277" s="14" t="s">
        <v>405</v>
      </c>
      <c r="E277" t="s">
        <v>120</v>
      </c>
    </row>
    <row r="278" spans="2:5" x14ac:dyDescent="0.3">
      <c r="B278">
        <f t="shared" si="6"/>
        <v>4196640</v>
      </c>
      <c r="C278" t="str">
        <f>"0x"&amp;DEC2HEX(B278,8)</f>
        <v>0x00400920</v>
      </c>
      <c r="D278" s="14" t="s">
        <v>391</v>
      </c>
      <c r="E278" t="s">
        <v>255</v>
      </c>
    </row>
    <row r="279" spans="2:5" x14ac:dyDescent="0.3">
      <c r="B279">
        <f t="shared" si="6"/>
        <v>4196644</v>
      </c>
      <c r="C279" t="str">
        <f>"0x"&amp;DEC2HEX(B279,8)</f>
        <v>0x00400924</v>
      </c>
      <c r="D279" s="14" t="s">
        <v>392</v>
      </c>
      <c r="E279" t="s">
        <v>256</v>
      </c>
    </row>
    <row r="280" spans="2:5" x14ac:dyDescent="0.3">
      <c r="B280">
        <f t="shared" si="6"/>
        <v>4196648</v>
      </c>
      <c r="C280" t="str">
        <f>"0x"&amp;DEC2HEX(B280,8)</f>
        <v>0x00400928</v>
      </c>
      <c r="D280" s="14" t="s">
        <v>393</v>
      </c>
      <c r="E280" t="s">
        <v>257</v>
      </c>
    </row>
    <row r="281" spans="2:5" x14ac:dyDescent="0.3">
      <c r="B281">
        <f t="shared" si="6"/>
        <v>4196652</v>
      </c>
      <c r="C281" t="str">
        <f>"0x"&amp;DEC2HEX(B281,8)</f>
        <v>0x0040092C</v>
      </c>
      <c r="D281" s="14" t="s">
        <v>433</v>
      </c>
      <c r="E281" t="s">
        <v>258</v>
      </c>
    </row>
    <row r="282" spans="2:5" x14ac:dyDescent="0.3">
      <c r="B282">
        <f t="shared" si="6"/>
        <v>4196656</v>
      </c>
      <c r="C282" t="str">
        <f>"0x"&amp;DEC2HEX(B282,8)</f>
        <v>0x00400930</v>
      </c>
      <c r="D282" s="14" t="s">
        <v>405</v>
      </c>
      <c r="E282" t="s">
        <v>120</v>
      </c>
    </row>
    <row r="283" spans="2:5" x14ac:dyDescent="0.3">
      <c r="B283">
        <f t="shared" si="6"/>
        <v>4196660</v>
      </c>
      <c r="C283" t="str">
        <f>"0x"&amp;DEC2HEX(B283,8)</f>
        <v>0x00400934</v>
      </c>
      <c r="D283" s="14" t="s">
        <v>342</v>
      </c>
      <c r="E283" t="s">
        <v>199</v>
      </c>
    </row>
    <row r="284" spans="2:5" x14ac:dyDescent="0.3">
      <c r="B284">
        <f t="shared" si="6"/>
        <v>4196664</v>
      </c>
      <c r="C284" t="str">
        <f>"0x"&amp;DEC2HEX(B284,8)</f>
        <v>0x00400938</v>
      </c>
      <c r="D284" s="14" t="s">
        <v>318</v>
      </c>
      <c r="E284" t="s">
        <v>168</v>
      </c>
    </row>
    <row r="285" spans="2:5" x14ac:dyDescent="0.3">
      <c r="B285">
        <f t="shared" si="6"/>
        <v>4196668</v>
      </c>
      <c r="C285" t="str">
        <f>"0x"&amp;DEC2HEX(B285,8)</f>
        <v>0x0040093C</v>
      </c>
      <c r="D285" s="14" t="s">
        <v>394</v>
      </c>
      <c r="E285" t="s">
        <v>259</v>
      </c>
    </row>
    <row r="286" spans="2:5" x14ac:dyDescent="0.3">
      <c r="B286">
        <f t="shared" si="6"/>
        <v>4196672</v>
      </c>
      <c r="C286" t="str">
        <f>"0x"&amp;DEC2HEX(B286,8)</f>
        <v>0x00400940</v>
      </c>
      <c r="D286" s="14" t="s">
        <v>319</v>
      </c>
      <c r="E286" t="s">
        <v>169</v>
      </c>
    </row>
    <row r="287" spans="2:5" x14ac:dyDescent="0.3">
      <c r="B287">
        <f t="shared" si="6"/>
        <v>4196676</v>
      </c>
      <c r="C287" t="str">
        <f>"0x"&amp;DEC2HEX(B287,8)</f>
        <v>0x00400944</v>
      </c>
      <c r="D287" s="14" t="s">
        <v>395</v>
      </c>
      <c r="E287" t="s">
        <v>260</v>
      </c>
    </row>
    <row r="288" spans="2:5" x14ac:dyDescent="0.3">
      <c r="B288">
        <f t="shared" si="6"/>
        <v>4196680</v>
      </c>
      <c r="C288" t="str">
        <f>"0x"&amp;DEC2HEX(B288,8)</f>
        <v>0x00400948</v>
      </c>
      <c r="D288" s="14" t="s">
        <v>343</v>
      </c>
      <c r="E288" t="s">
        <v>200</v>
      </c>
    </row>
    <row r="289" spans="2:5" x14ac:dyDescent="0.3">
      <c r="B289">
        <f t="shared" si="6"/>
        <v>4196684</v>
      </c>
      <c r="C289" t="str">
        <f>"0x"&amp;DEC2HEX(B289,8)</f>
        <v>0x0040094C</v>
      </c>
      <c r="D289" s="14" t="s">
        <v>285</v>
      </c>
      <c r="E289" t="s">
        <v>122</v>
      </c>
    </row>
    <row r="290" spans="2:5" x14ac:dyDescent="0.3">
      <c r="B290">
        <f t="shared" si="6"/>
        <v>4196688</v>
      </c>
      <c r="C290" t="str">
        <f>"0x"&amp;DEC2HEX(B290,8)</f>
        <v>0x00400950</v>
      </c>
      <c r="D290" s="14" t="s">
        <v>396</v>
      </c>
      <c r="E290" t="s">
        <v>261</v>
      </c>
    </row>
    <row r="291" spans="2:5" x14ac:dyDescent="0.3">
      <c r="B291">
        <f t="shared" si="6"/>
        <v>4196692</v>
      </c>
      <c r="C291" t="str">
        <f>"0x"&amp;DEC2HEX(B291,8)</f>
        <v>0x00400954</v>
      </c>
      <c r="D291" s="14" t="s">
        <v>397</v>
      </c>
      <c r="E291" t="s">
        <v>262</v>
      </c>
    </row>
    <row r="292" spans="2:5" x14ac:dyDescent="0.3">
      <c r="B292">
        <f t="shared" si="6"/>
        <v>4196696</v>
      </c>
      <c r="C292" t="str">
        <f>"0x"&amp;DEC2HEX(B292,8)</f>
        <v>0x00400958</v>
      </c>
      <c r="D292" s="14" t="s">
        <v>398</v>
      </c>
      <c r="E292" t="s">
        <v>263</v>
      </c>
    </row>
    <row r="293" spans="2:5" x14ac:dyDescent="0.3">
      <c r="B293">
        <f t="shared" si="6"/>
        <v>4196700</v>
      </c>
      <c r="C293" t="str">
        <f>"0x"&amp;DEC2HEX(B293,8)</f>
        <v>0x0040095C</v>
      </c>
      <c r="D293" s="14" t="s">
        <v>360</v>
      </c>
      <c r="E293" t="s">
        <v>221</v>
      </c>
    </row>
    <row r="294" spans="2:5" x14ac:dyDescent="0.3">
      <c r="B294">
        <f t="shared" si="6"/>
        <v>4196704</v>
      </c>
      <c r="C294" t="str">
        <f>"0x"&amp;DEC2HEX(B294,8)</f>
        <v>0x00400960</v>
      </c>
      <c r="D294" s="14" t="s">
        <v>338</v>
      </c>
      <c r="E294" t="s">
        <v>195</v>
      </c>
    </row>
    <row r="295" spans="2:5" x14ac:dyDescent="0.3">
      <c r="B295">
        <f t="shared" si="6"/>
        <v>4196708</v>
      </c>
      <c r="C295" t="str">
        <f>"0x"&amp;DEC2HEX(B295,8)</f>
        <v>0x00400964</v>
      </c>
      <c r="D295" s="14" t="s">
        <v>339</v>
      </c>
      <c r="E295" t="s">
        <v>196</v>
      </c>
    </row>
    <row r="296" spans="2:5" x14ac:dyDescent="0.3">
      <c r="B296">
        <f t="shared" si="6"/>
        <v>4196712</v>
      </c>
      <c r="C296" t="str">
        <f>"0x"&amp;DEC2HEX(B296,8)</f>
        <v>0x00400968</v>
      </c>
      <c r="D296" s="14" t="s">
        <v>408</v>
      </c>
      <c r="E296" t="s">
        <v>130</v>
      </c>
    </row>
    <row r="297" spans="2:5" x14ac:dyDescent="0.3">
      <c r="B297">
        <f t="shared" si="6"/>
        <v>4196716</v>
      </c>
      <c r="C297" t="str">
        <f>"0x"&amp;DEC2HEX(B297,8)</f>
        <v>0x0040096C</v>
      </c>
      <c r="D297" s="14" t="s">
        <v>362</v>
      </c>
      <c r="E297" t="s">
        <v>223</v>
      </c>
    </row>
    <row r="298" spans="2:5" x14ac:dyDescent="0.3">
      <c r="B298">
        <f t="shared" si="6"/>
        <v>4196720</v>
      </c>
      <c r="C298" t="str">
        <f>"0x"&amp;DEC2HEX(B298,8)</f>
        <v>0x00400970</v>
      </c>
      <c r="D298" s="14" t="s">
        <v>408</v>
      </c>
      <c r="E298" t="s">
        <v>130</v>
      </c>
    </row>
    <row r="299" spans="2:5" x14ac:dyDescent="0.3">
      <c r="B299">
        <f t="shared" si="6"/>
        <v>4196724</v>
      </c>
      <c r="C299" t="str">
        <f>"0x"&amp;DEC2HEX(B299,8)</f>
        <v>0x00400974</v>
      </c>
      <c r="D299" s="14" t="s">
        <v>405</v>
      </c>
      <c r="E299" t="s">
        <v>120</v>
      </c>
    </row>
    <row r="300" spans="2:5" x14ac:dyDescent="0.3">
      <c r="B300">
        <f t="shared" ref="B300:B301" si="7">B299+4</f>
        <v>4196728</v>
      </c>
      <c r="C300" t="str">
        <f>"0x"&amp;DEC2HEX(B300,8)</f>
        <v>0x00400978</v>
      </c>
      <c r="D300" s="14" t="s">
        <v>405</v>
      </c>
      <c r="E300" t="s">
        <v>120</v>
      </c>
    </row>
    <row r="301" spans="2:5" x14ac:dyDescent="0.3">
      <c r="B301">
        <f t="shared" si="7"/>
        <v>4196732</v>
      </c>
      <c r="C301" t="str">
        <f>"0x"&amp;DEC2HEX(B301,8)</f>
        <v>0x0040097C</v>
      </c>
      <c r="D301" s="14" t="s">
        <v>405</v>
      </c>
      <c r="E301" t="s">
        <v>120</v>
      </c>
    </row>
    <row r="302" spans="2:5" x14ac:dyDescent="0.3">
      <c r="B302">
        <f t="shared" ref="B302" si="8">B301+4</f>
        <v>4196736</v>
      </c>
      <c r="C302" t="str">
        <f>"0x"&amp;DEC2HEX(B302,8)</f>
        <v>0x00400980</v>
      </c>
      <c r="D302" s="14" t="s">
        <v>399</v>
      </c>
      <c r="E302" t="s">
        <v>264</v>
      </c>
    </row>
    <row r="303" spans="2:5" x14ac:dyDescent="0.3">
      <c r="B303">
        <f t="shared" si="6"/>
        <v>4196740</v>
      </c>
      <c r="C303" t="str">
        <f>"0x"&amp;DEC2HEX(B303,8)</f>
        <v>0x00400984</v>
      </c>
      <c r="D303" s="14" t="s">
        <v>400</v>
      </c>
      <c r="E303" t="s">
        <v>265</v>
      </c>
    </row>
    <row r="304" spans="2:5" x14ac:dyDescent="0.3">
      <c r="B304">
        <f t="shared" si="6"/>
        <v>4196744</v>
      </c>
      <c r="C304" t="str">
        <f>"0x"&amp;DEC2HEX(B304,8)</f>
        <v>0x00400988</v>
      </c>
      <c r="D304" s="14" t="s">
        <v>285</v>
      </c>
      <c r="E304" t="s">
        <v>122</v>
      </c>
    </row>
    <row r="305" spans="2:5" x14ac:dyDescent="0.3">
      <c r="B305">
        <f t="shared" si="6"/>
        <v>4196748</v>
      </c>
      <c r="C305" t="str">
        <f>"0x"&amp;DEC2HEX(B305,8)</f>
        <v>0x0040098C</v>
      </c>
      <c r="D305" s="14" t="s">
        <v>401</v>
      </c>
      <c r="E305" t="s">
        <v>266</v>
      </c>
    </row>
    <row r="306" spans="2:5" x14ac:dyDescent="0.3">
      <c r="B306">
        <f t="shared" si="6"/>
        <v>4196752</v>
      </c>
      <c r="C306" t="str">
        <f>"0x"&amp;DEC2HEX(B306,8)</f>
        <v>0x00400990</v>
      </c>
      <c r="D306" s="14" t="s">
        <v>399</v>
      </c>
      <c r="E306" t="s">
        <v>264</v>
      </c>
    </row>
    <row r="307" spans="2:5" x14ac:dyDescent="0.3">
      <c r="B307">
        <f t="shared" si="6"/>
        <v>4196756</v>
      </c>
      <c r="C307" t="str">
        <f>"0x"&amp;DEC2HEX(B307,8)</f>
        <v>0x00400994</v>
      </c>
      <c r="D307" s="14" t="s">
        <v>400</v>
      </c>
      <c r="E307" t="s">
        <v>265</v>
      </c>
    </row>
    <row r="308" spans="2:5" x14ac:dyDescent="0.3">
      <c r="B308">
        <f t="shared" si="6"/>
        <v>4196760</v>
      </c>
      <c r="C308" t="str">
        <f>"0x"&amp;DEC2HEX(B308,8)</f>
        <v>0x00400998</v>
      </c>
      <c r="D308" s="14" t="s">
        <v>285</v>
      </c>
      <c r="E308" t="s">
        <v>122</v>
      </c>
    </row>
    <row r="309" spans="2:5" x14ac:dyDescent="0.3">
      <c r="B309">
        <f t="shared" si="6"/>
        <v>4196764</v>
      </c>
      <c r="C309" t="str">
        <f>"0x"&amp;DEC2HEX(B309,8)</f>
        <v>0x0040099C</v>
      </c>
      <c r="D309" s="14" t="s">
        <v>434</v>
      </c>
      <c r="E309" t="s">
        <v>267</v>
      </c>
    </row>
    <row r="310" spans="2:5" x14ac:dyDescent="0.3">
      <c r="B310">
        <f t="shared" ref="B310" si="9">B309+4</f>
        <v>4196768</v>
      </c>
      <c r="C310" t="str">
        <f>"0x"&amp;DEC2HEX(B310,8)</f>
        <v>0x004009A0</v>
      </c>
      <c r="D310" s="14" t="s">
        <v>405</v>
      </c>
      <c r="E310" t="s">
        <v>120</v>
      </c>
    </row>
    <row r="311" spans="2:5" x14ac:dyDescent="0.3">
      <c r="B311">
        <f t="shared" ref="B311:B313" si="10">B310+4</f>
        <v>4196772</v>
      </c>
      <c r="C311" t="str">
        <f>"0x"&amp;DEC2HEX(B311,8)</f>
        <v>0x004009A4</v>
      </c>
      <c r="D311" s="14" t="s">
        <v>405</v>
      </c>
      <c r="E311" t="s">
        <v>120</v>
      </c>
    </row>
    <row r="312" spans="2:5" x14ac:dyDescent="0.3">
      <c r="B312">
        <f t="shared" si="10"/>
        <v>4196776</v>
      </c>
      <c r="C312" t="str">
        <f>"0x"&amp;DEC2HEX(B312,8)</f>
        <v>0x004009A8</v>
      </c>
      <c r="D312" s="14" t="s">
        <v>405</v>
      </c>
      <c r="E312" t="s">
        <v>120</v>
      </c>
    </row>
    <row r="313" spans="2:5" x14ac:dyDescent="0.3">
      <c r="B313">
        <f t="shared" si="10"/>
        <v>4196780</v>
      </c>
      <c r="C313" t="str">
        <f>"0x"&amp;DEC2HEX(B313,8)</f>
        <v>0x004009AC</v>
      </c>
      <c r="D313" s="14" t="s">
        <v>405</v>
      </c>
      <c r="E313" t="s">
        <v>120</v>
      </c>
    </row>
    <row r="314" spans="2:5" x14ac:dyDescent="0.3">
      <c r="B314">
        <f t="shared" ref="B314" si="11">B313+4</f>
        <v>4196784</v>
      </c>
      <c r="C314" t="str">
        <f>"0x"&amp;DEC2HEX(B314,8)</f>
        <v>0x004009B0</v>
      </c>
      <c r="D314" s="14" t="s">
        <v>278</v>
      </c>
      <c r="E314" t="s">
        <v>112</v>
      </c>
    </row>
    <row r="315" spans="2:5" x14ac:dyDescent="0.3">
      <c r="B315">
        <f t="shared" si="6"/>
        <v>4196788</v>
      </c>
      <c r="C315" t="str">
        <f>"0x"&amp;DEC2HEX(B315,8)</f>
        <v>0x004009B4</v>
      </c>
      <c r="D315" s="14" t="s">
        <v>402</v>
      </c>
      <c r="E315" t="s">
        <v>268</v>
      </c>
    </row>
    <row r="316" spans="2:5" x14ac:dyDescent="0.3">
      <c r="B316">
        <f t="shared" si="6"/>
        <v>4196792</v>
      </c>
      <c r="C316" t="str">
        <f>"0x"&amp;DEC2HEX(B316,8)</f>
        <v>0x004009B8</v>
      </c>
      <c r="D316" s="14" t="s">
        <v>403</v>
      </c>
      <c r="E316" t="s">
        <v>114</v>
      </c>
    </row>
    <row r="317" spans="2:5" x14ac:dyDescent="0.3">
      <c r="B317">
        <f t="shared" si="6"/>
        <v>4196796</v>
      </c>
      <c r="C317" t="str">
        <f>"0x"&amp;DEC2HEX(B317,8)</f>
        <v>0x004009BC</v>
      </c>
      <c r="D317" s="14" t="s">
        <v>280</v>
      </c>
      <c r="E317" t="s">
        <v>115</v>
      </c>
    </row>
    <row r="318" spans="2:5" x14ac:dyDescent="0.3">
      <c r="B318">
        <f t="shared" si="6"/>
        <v>4196800</v>
      </c>
      <c r="C318" t="str">
        <f>"0x"&amp;DEC2HEX(B318,8)</f>
        <v>0x004009C0</v>
      </c>
      <c r="D318" s="14" t="s">
        <v>281</v>
      </c>
      <c r="E318" t="s">
        <v>116</v>
      </c>
    </row>
    <row r="319" spans="2:5" x14ac:dyDescent="0.3">
      <c r="B319">
        <f t="shared" si="6"/>
        <v>4196804</v>
      </c>
      <c r="C319" t="str">
        <f>"0x"&amp;DEC2HEX(B319,8)</f>
        <v>0x004009C4</v>
      </c>
      <c r="D319" s="14" t="s">
        <v>282</v>
      </c>
      <c r="E319" t="s">
        <v>117</v>
      </c>
    </row>
    <row r="320" spans="2:5" x14ac:dyDescent="0.3">
      <c r="B320">
        <f t="shared" si="6"/>
        <v>4196808</v>
      </c>
      <c r="C320" t="str">
        <f>"0x"&amp;DEC2HEX(B320,8)</f>
        <v>0x004009C8</v>
      </c>
      <c r="D320" s="14" t="s">
        <v>406</v>
      </c>
      <c r="E320" t="s">
        <v>123</v>
      </c>
    </row>
    <row r="321" spans="2:5" x14ac:dyDescent="0.3">
      <c r="B321">
        <f t="shared" si="6"/>
        <v>4196812</v>
      </c>
      <c r="C321" t="str">
        <f>"0x"&amp;DEC2HEX(B321,8)</f>
        <v>0x004009CC</v>
      </c>
      <c r="D321" s="14" t="s">
        <v>405</v>
      </c>
      <c r="E321" t="s">
        <v>120</v>
      </c>
    </row>
    <row r="322" spans="2:5" x14ac:dyDescent="0.3">
      <c r="B322">
        <f t="shared" si="6"/>
        <v>4196816</v>
      </c>
      <c r="C322" t="str">
        <f>"0x"&amp;DEC2HEX(B322,8)</f>
        <v>0x004009D0</v>
      </c>
      <c r="D322" s="14" t="s">
        <v>286</v>
      </c>
      <c r="E322" t="s">
        <v>124</v>
      </c>
    </row>
    <row r="323" spans="2:5" x14ac:dyDescent="0.3">
      <c r="B323">
        <f t="shared" si="6"/>
        <v>4196820</v>
      </c>
      <c r="C323" t="str">
        <f>"0x"&amp;DEC2HEX(B323,8)</f>
        <v>0x004009D4</v>
      </c>
      <c r="D323" s="14" t="s">
        <v>287</v>
      </c>
      <c r="E323" t="s">
        <v>125</v>
      </c>
    </row>
    <row r="324" spans="2:5" x14ac:dyDescent="0.3">
      <c r="B324">
        <f t="shared" si="6"/>
        <v>4196824</v>
      </c>
      <c r="C324" t="str">
        <f>"0x"&amp;DEC2HEX(B324,8)</f>
        <v>0x004009D8</v>
      </c>
      <c r="D324" s="14" t="s">
        <v>288</v>
      </c>
      <c r="E324" t="s">
        <v>126</v>
      </c>
    </row>
    <row r="325" spans="2:5" x14ac:dyDescent="0.3">
      <c r="B325">
        <f t="shared" si="6"/>
        <v>4196828</v>
      </c>
      <c r="C325" t="str">
        <f>"0x"&amp;DEC2HEX(B325,8)</f>
        <v>0x004009DC</v>
      </c>
      <c r="D325" s="14" t="s">
        <v>435</v>
      </c>
      <c r="E325" t="s">
        <v>269</v>
      </c>
    </row>
    <row r="326" spans="2:5" x14ac:dyDescent="0.3">
      <c r="B326">
        <f t="shared" si="6"/>
        <v>4196832</v>
      </c>
      <c r="C326" t="str">
        <f>"0x"&amp;DEC2HEX(B326,8)</f>
        <v>0x004009E0</v>
      </c>
      <c r="D326" s="14" t="s">
        <v>285</v>
      </c>
      <c r="E326" t="s">
        <v>122</v>
      </c>
    </row>
    <row r="327" spans="2:5" x14ac:dyDescent="0.3">
      <c r="B327">
        <f t="shared" si="6"/>
        <v>4196836</v>
      </c>
      <c r="C327" t="str">
        <f>"0x"&amp;DEC2HEX(B327,8)</f>
        <v>0x004009E4</v>
      </c>
      <c r="D327" s="14" t="s">
        <v>405</v>
      </c>
      <c r="E327" t="s">
        <v>120</v>
      </c>
    </row>
    <row r="328" spans="2:5" x14ac:dyDescent="0.3">
      <c r="B328">
        <f t="shared" si="6"/>
        <v>4196840</v>
      </c>
      <c r="C328" t="str">
        <f>"0x"&amp;DEC2HEX(B328,8)</f>
        <v>0x004009E8</v>
      </c>
      <c r="D328" s="14" t="s">
        <v>290</v>
      </c>
      <c r="E328" t="s">
        <v>129</v>
      </c>
    </row>
    <row r="329" spans="2:5" x14ac:dyDescent="0.3">
      <c r="B329">
        <f t="shared" si="6"/>
        <v>4196844</v>
      </c>
      <c r="C329" t="str">
        <f>"0x"&amp;DEC2HEX(B329,8)</f>
        <v>0x004009EC</v>
      </c>
      <c r="D329" s="14" t="s">
        <v>408</v>
      </c>
      <c r="E329" t="s">
        <v>130</v>
      </c>
    </row>
    <row r="330" spans="2:5" x14ac:dyDescent="0.3">
      <c r="B330">
        <f t="shared" si="6"/>
        <v>4196848</v>
      </c>
      <c r="C330" t="str">
        <f>"0x"&amp;DEC2HEX(B330,8)</f>
        <v>0x004009F0</v>
      </c>
      <c r="D330" s="14" t="s">
        <v>291</v>
      </c>
      <c r="E330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TASK</vt:lpstr>
      <vt:lpstr>오류사항분석</vt:lpstr>
      <vt:lpstr>MemoryMap</vt:lpstr>
      <vt:lpstr>교안참고</vt:lpstr>
      <vt:lpstr>미구현명령어 정리</vt:lpstr>
      <vt:lpstr>opcode 해석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2026-08-23T10:43:41Z</dcterms:modified>
</cp:coreProperties>
</file>