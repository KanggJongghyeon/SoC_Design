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SoC_Design\document\"/>
    </mc:Choice>
  </mc:AlternateContent>
  <xr:revisionPtr revIDLastSave="0" documentId="13_ncr:1_{DF24DEBF-CF2A-41EB-92C9-AF05ADD4482E}" xr6:coauthVersionLast="47" xr6:coauthVersionMax="47" xr10:uidLastSave="{00000000-0000-0000-0000-000000000000}"/>
  <bookViews>
    <workbookView xWindow="-105" yWindow="0" windowWidth="18615" windowHeight="15585" activeTab="4" xr2:uid="{813C5046-60F0-40FF-AAC7-48B46C31F73B}"/>
  </bookViews>
  <sheets>
    <sheet name="TASK" sheetId="1" r:id="rId1"/>
    <sheet name="오류사항분석" sheetId="2" r:id="rId2"/>
    <sheet name="MemoryMap" sheetId="4" r:id="rId3"/>
    <sheet name="교안참고" sheetId="3" r:id="rId4"/>
    <sheet name="미구현명령어 정리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B13" i="5"/>
  <c r="B12" i="5"/>
  <c r="B11" i="5"/>
  <c r="B10" i="5"/>
  <c r="B9" i="5"/>
  <c r="B6" i="5"/>
  <c r="B7" i="5" s="1"/>
  <c r="B8" i="5" s="1"/>
  <c r="B5" i="5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3" i="2"/>
  <c r="B4" i="2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E5" i="1"/>
  <c r="D6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D5" i="1" s="1"/>
  <c r="E3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" i="1"/>
  <c r="B4" i="1" s="1"/>
  <c r="B5" i="1" l="1"/>
  <c r="B6" i="1" s="1"/>
  <c r="B7" i="1" s="1"/>
</calcChain>
</file>

<file path=xl/sharedStrings.xml><?xml version="1.0" encoding="utf-8"?>
<sst xmlns="http://schemas.openxmlformats.org/spreadsheetml/2006/main" count="150" uniqueCount="112">
  <si>
    <t>No</t>
    <phoneticPr fontId="1" type="noConversion"/>
  </si>
  <si>
    <t>TASK</t>
    <phoneticPr fontId="1" type="noConversion"/>
  </si>
  <si>
    <t>시작</t>
    <phoneticPr fontId="1" type="noConversion"/>
  </si>
  <si>
    <t>종료</t>
    <phoneticPr fontId="1" type="noConversion"/>
  </si>
  <si>
    <t>기간</t>
    <phoneticPr fontId="1" type="noConversion"/>
  </si>
  <si>
    <t>대분류</t>
    <phoneticPr fontId="1" type="noConversion"/>
  </si>
  <si>
    <t>CPU 설계</t>
    <phoneticPr fontId="1" type="noConversion"/>
  </si>
  <si>
    <t>기존 CPU Logic 분석 (3 Stage)</t>
    <phoneticPr fontId="1" type="noConversion"/>
  </si>
  <si>
    <t>Hazard 관련 Logic Study</t>
    <phoneticPr fontId="1" type="noConversion"/>
  </si>
  <si>
    <t>5 Stage 필요 조건 분석</t>
    <phoneticPr fontId="1" type="noConversion"/>
  </si>
  <si>
    <t>SRAM Study(I/O, 동기/비동기, I-/D-)</t>
    <phoneticPr fontId="1" type="noConversion"/>
  </si>
  <si>
    <t>CPU Logic 설계</t>
    <phoneticPr fontId="1" type="noConversion"/>
  </si>
  <si>
    <t>Logic 검증 (TB : #readmemh + $display)</t>
    <phoneticPr fontId="1" type="noConversion"/>
  </si>
  <si>
    <t>오류사항</t>
    <phoneticPr fontId="1" type="noConversion"/>
  </si>
  <si>
    <t>lw 타이밍 문제</t>
    <phoneticPr fontId="1" type="noConversion"/>
  </si>
  <si>
    <t>beq 타이밍 문제</t>
    <phoneticPr fontId="1" type="noConversion"/>
  </si>
  <si>
    <t>MIPS Pipeline</t>
    <phoneticPr fontId="1" type="noConversion"/>
  </si>
  <si>
    <t>IF</t>
    <phoneticPr fontId="1" type="noConversion"/>
  </si>
  <si>
    <t>ID</t>
    <phoneticPr fontId="1" type="noConversion"/>
  </si>
  <si>
    <t>EX</t>
    <phoneticPr fontId="1" type="noConversion"/>
  </si>
  <si>
    <t>MEM</t>
    <phoneticPr fontId="1" type="noConversion"/>
  </si>
  <si>
    <t>WB</t>
    <phoneticPr fontId="1" type="noConversion"/>
  </si>
  <si>
    <t>Instruction Fetch from Memory</t>
    <phoneticPr fontId="1" type="noConversion"/>
  </si>
  <si>
    <t>Instruction Decode and Register Read</t>
    <phoneticPr fontId="1" type="noConversion"/>
  </si>
  <si>
    <t>Execute Operation or Calculate ADDR</t>
    <phoneticPr fontId="1" type="noConversion"/>
  </si>
  <si>
    <t>Access Memory Operand</t>
    <phoneticPr fontId="1" type="noConversion"/>
  </si>
  <si>
    <t>Write Result Back to Register</t>
    <phoneticPr fontId="1" type="noConversion"/>
  </si>
  <si>
    <t>Stage</t>
    <phoneticPr fontId="1" type="noConversion"/>
  </si>
  <si>
    <t>Description</t>
    <phoneticPr fontId="1" type="noConversion"/>
  </si>
  <si>
    <t>해결방법</t>
    <phoneticPr fontId="1" type="noConversion"/>
  </si>
  <si>
    <t>rd 레지스터를 버퍼를 둬서 한 사이클 더 가지고 있어야함
++ mux로 memtoreg_flag 신호 가지고 rd 판단
++ 대신 Registers에 들어가는 wdata도 memtoreg_flag로 판단</t>
    <phoneticPr fontId="1" type="noConversion"/>
  </si>
  <si>
    <t>5-Stage RegWrite
타이밍 문제</t>
    <phoneticPr fontId="1" type="noConversion"/>
  </si>
  <si>
    <t>rd 레지스터 및 reg_wdata를 가지고 있어야함
최소 2,3개 버퍼를 둬야할듯</t>
    <phoneticPr fontId="1" type="noConversion"/>
  </si>
  <si>
    <t>regdst_mux</t>
    <phoneticPr fontId="1" type="noConversion"/>
  </si>
  <si>
    <t xml:space="preserve"> 생각해보니 ex 단계에서 만들어서 bridge로 output만 넘겨주면 되는 걸 굳이 wb mux, mem mux 만들었음
추후에 전면 수정 할것</t>
    <phoneticPr fontId="1" type="noConversion"/>
  </si>
  <si>
    <t>GPIO</t>
    <phoneticPr fontId="1" type="noConversion"/>
  </si>
  <si>
    <t>TIMER</t>
    <phoneticPr fontId="1" type="noConversion"/>
  </si>
  <si>
    <t>UART</t>
    <phoneticPr fontId="1" type="noConversion"/>
  </si>
  <si>
    <t>SPI</t>
    <phoneticPr fontId="1" type="noConversion"/>
  </si>
  <si>
    <t>DMA</t>
    <phoneticPr fontId="1" type="noConversion"/>
  </si>
  <si>
    <t>Interrupt Controller</t>
    <phoneticPr fontId="1" type="noConversion"/>
  </si>
  <si>
    <t>Device</t>
    <phoneticPr fontId="1" type="noConversion"/>
  </si>
  <si>
    <t>BOOT ROM</t>
    <phoneticPr fontId="1" type="noConversion"/>
  </si>
  <si>
    <t>ADDR RANGE</t>
    <phoneticPr fontId="1" type="noConversion"/>
  </si>
  <si>
    <t>I2C</t>
    <phoneticPr fontId="1" type="noConversion"/>
  </si>
  <si>
    <t>0x0000_0000</t>
    <phoneticPr fontId="1" type="noConversion"/>
  </si>
  <si>
    <t>0x00D0_A000</t>
    <phoneticPr fontId="1" type="noConversion"/>
  </si>
  <si>
    <t>0x00D0_AFFF</t>
    <phoneticPr fontId="1" type="noConversion"/>
  </si>
  <si>
    <t>0x00D0_B000</t>
    <phoneticPr fontId="1" type="noConversion"/>
  </si>
  <si>
    <t>0x00D0_BFFF</t>
    <phoneticPr fontId="1" type="noConversion"/>
  </si>
  <si>
    <t>0x00D0_C000</t>
    <phoneticPr fontId="1" type="noConversion"/>
  </si>
  <si>
    <t>0x00D0_CFFF</t>
    <phoneticPr fontId="1" type="noConversion"/>
  </si>
  <si>
    <t>0x00D0_D000</t>
    <phoneticPr fontId="1" type="noConversion"/>
  </si>
  <si>
    <t>0x00D0_DFFF</t>
    <phoneticPr fontId="1" type="noConversion"/>
  </si>
  <si>
    <t>0x00D0_E000</t>
    <phoneticPr fontId="1" type="noConversion"/>
  </si>
  <si>
    <t>0x00D_0EFFF</t>
    <phoneticPr fontId="1" type="noConversion"/>
  </si>
  <si>
    <t>BUS</t>
    <phoneticPr fontId="1" type="noConversion"/>
  </si>
  <si>
    <t>AXI</t>
    <phoneticPr fontId="1" type="noConversion"/>
  </si>
  <si>
    <t>APB</t>
    <phoneticPr fontId="1" type="noConversion"/>
  </si>
  <si>
    <t>AHB</t>
    <phoneticPr fontId="1" type="noConversion"/>
  </si>
  <si>
    <t>TBD</t>
    <phoneticPr fontId="1" type="noConversion"/>
  </si>
  <si>
    <t>0x1000_0000</t>
    <phoneticPr fontId="1" type="noConversion"/>
  </si>
  <si>
    <t>0x1000_FFFF</t>
    <phoneticPr fontId="1" type="noConversion"/>
  </si>
  <si>
    <t>0x2000_0000</t>
    <phoneticPr fontId="1" type="noConversion"/>
  </si>
  <si>
    <t>0x2FFFF_FFFF</t>
    <phoneticPr fontId="1" type="noConversion"/>
  </si>
  <si>
    <t>0x3000_0000</t>
    <phoneticPr fontId="1" type="noConversion"/>
  </si>
  <si>
    <t>0x0000_03FF</t>
    <phoneticPr fontId="1" type="noConversion"/>
  </si>
  <si>
    <t>0x7FFF_FFFF</t>
    <phoneticPr fontId="1" type="noConversion"/>
  </si>
  <si>
    <t>0x8000_000</t>
    <phoneticPr fontId="1" type="noConversion"/>
  </si>
  <si>
    <t>0xFFFF_FFF</t>
    <phoneticPr fontId="1" type="noConversion"/>
  </si>
  <si>
    <t>AUX MEMORY</t>
    <phoneticPr fontId="1" type="noConversion"/>
  </si>
  <si>
    <t>MAIN MEMORY</t>
    <phoneticPr fontId="1" type="noConversion"/>
  </si>
  <si>
    <t>CACHE MEMORY</t>
    <phoneticPr fontId="1" type="noConversion"/>
  </si>
  <si>
    <t>명령어</t>
    <phoneticPr fontId="1" type="noConversion"/>
  </si>
  <si>
    <t>구분방법</t>
    <phoneticPr fontId="1" type="noConversion"/>
  </si>
  <si>
    <t>bgezal</t>
    <phoneticPr fontId="1" type="noConversion"/>
  </si>
  <si>
    <t>opcode = 6'b000001 (REGIMM), rt = 5'b1001</t>
    <phoneticPr fontId="1" type="noConversion"/>
  </si>
  <si>
    <t>bltz</t>
    <phoneticPr fontId="1" type="noConversion"/>
  </si>
  <si>
    <t>bgez</t>
    <phoneticPr fontId="1" type="noConversion"/>
  </si>
  <si>
    <t>bltzal</t>
    <phoneticPr fontId="1" type="noConversion"/>
  </si>
  <si>
    <t>opcode = 6'b000001 (REGIMM), rt = 5'b0000</t>
    <phoneticPr fontId="1" type="noConversion"/>
  </si>
  <si>
    <t>opcode = 6'b000001 (REGIMM), rt = 5'b0001</t>
    <phoneticPr fontId="1" type="noConversion"/>
  </si>
  <si>
    <t>opcode = 6'b000001 (REGIMM), rt = 5'b1000</t>
    <phoneticPr fontId="1" type="noConversion"/>
  </si>
  <si>
    <t>Branch on Greater Than or Equal to Zero (&gt;= 0)</t>
    <phoneticPr fontId="1" type="noConversion"/>
  </si>
  <si>
    <t>Branch on Less Than Zero (&lt; 0)</t>
    <phoneticPr fontId="1" type="noConversion"/>
  </si>
  <si>
    <t>Branch on Less Than Zero (&lt; 0) And Link ($ra &lt;= PC)</t>
    <phoneticPr fontId="1" type="noConversion"/>
  </si>
  <si>
    <t>Branch on Greater Than or Equal to Zero (&gt;= 0) And Link ($ra &lt;= PC)</t>
    <phoneticPr fontId="1" type="noConversion"/>
  </si>
  <si>
    <t>jalr</t>
    <phoneticPr fontId="1" type="noConversion"/>
  </si>
  <si>
    <t>Jump and Link Register</t>
    <phoneticPr fontId="1" type="noConversion"/>
  </si>
  <si>
    <t>opcode = 6'b000000, funct_code = 6'b0001001</t>
    <phoneticPr fontId="1" type="noConversion"/>
  </si>
  <si>
    <t>verilogHDL</t>
    <phoneticPr fontId="1" type="noConversion"/>
  </si>
  <si>
    <t>C</t>
    <phoneticPr fontId="1" type="noConversion"/>
  </si>
  <si>
    <t>X</t>
    <phoneticPr fontId="1" type="noConversion"/>
  </si>
  <si>
    <t>O</t>
    <phoneticPr fontId="1" type="noConversion"/>
  </si>
  <si>
    <t>정의(동작)</t>
    <phoneticPr fontId="1" type="noConversion"/>
  </si>
  <si>
    <t>구현 유무</t>
    <phoneticPr fontId="1" type="noConversion"/>
  </si>
  <si>
    <t>lbu</t>
    <phoneticPr fontId="1" type="noConversion"/>
  </si>
  <si>
    <t>lb</t>
    <phoneticPr fontId="1" type="noConversion"/>
  </si>
  <si>
    <t>Load Byte Unsigned (opcode-rs-rt-imm &lt;=&gt; lbu rt, imm(rs)) (zero-extend)</t>
    <phoneticPr fontId="1" type="noConversion"/>
  </si>
  <si>
    <t>Load Byte (opcode-rs-rt-imm &lt;=&gt; lb rt, imm(rs)) (sign-extend)</t>
    <phoneticPr fontId="1" type="noConversion"/>
  </si>
  <si>
    <t>opcode = 6'b100000</t>
    <phoneticPr fontId="1" type="noConversion"/>
  </si>
  <si>
    <t>opcode = 6'b100100</t>
    <phoneticPr fontId="1" type="noConversion"/>
  </si>
  <si>
    <t>lhu</t>
    <phoneticPr fontId="1" type="noConversion"/>
  </si>
  <si>
    <t>lh</t>
    <phoneticPr fontId="1" type="noConversion"/>
  </si>
  <si>
    <t>sb</t>
    <phoneticPr fontId="1" type="noConversion"/>
  </si>
  <si>
    <t>sh</t>
    <phoneticPr fontId="1" type="noConversion"/>
  </si>
  <si>
    <t>Load Half-Word Unsigned (opcode-rs-rt-imm &lt;=&gt; lhu rt, imm(rs)) (zero-extend)</t>
    <phoneticPr fontId="1" type="noConversion"/>
  </si>
  <si>
    <t>Load Half-Word (opcode-rs-rt-imm &lt;=&gt; lh rt, imm(rs)) (sign-extend)</t>
    <phoneticPr fontId="1" type="noConversion"/>
  </si>
  <si>
    <t>opcode = 6'b100001</t>
    <phoneticPr fontId="1" type="noConversion"/>
  </si>
  <si>
    <t>opcode = 6'b100101</t>
    <phoneticPr fontId="1" type="noConversion"/>
  </si>
  <si>
    <t>Stroe Half-Word (opcode-rs-rt-imm &lt;=&gt; sh rt, imm(rs))</t>
    <phoneticPr fontId="1" type="noConversion"/>
  </si>
  <si>
    <t>Store Byte (opcode-rs-rt-imm &lt;=&gt; sb rt, imm(rs))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</si>
</sst>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0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C11C-1620-411A-9B2F-3F513CAF246A}">
  <dimension ref="B1:G34"/>
  <sheetViews>
    <sheetView showGridLines="0" workbookViewId="0">
      <selection activeCell="C11" sqref="C11"/>
    </sheetView>
  </sheetViews>
  <sheetFormatPr defaultColWidth="8.625" defaultRowHeight="16.5" x14ac:dyDescent="0.3"/>
  <cols>
    <col min="1" max="1" width="2.625" style="1" customWidth="1"/>
    <col min="2" max="2" width="8.625" style="1"/>
    <col min="3" max="3" width="37.5" style="3" customWidth="1"/>
    <col min="4" max="5" width="12.625" style="2" customWidth="1"/>
    <col min="6" max="6" width="8.625" style="4"/>
    <col min="7" max="7" width="16.375" style="1" customWidth="1"/>
    <col min="8" max="16384" width="8.625" style="1"/>
  </cols>
  <sheetData>
    <row r="1" spans="2:7" x14ac:dyDescent="0.3">
      <c r="C1" s="1"/>
    </row>
    <row r="2" spans="2:7" x14ac:dyDescent="0.3">
      <c r="B2" s="1" t="s">
        <v>0</v>
      </c>
      <c r="C2" s="1" t="s">
        <v>1</v>
      </c>
      <c r="D2" s="2" t="s">
        <v>2</v>
      </c>
      <c r="E2" s="2" t="s">
        <v>3</v>
      </c>
      <c r="F2" s="4" t="s">
        <v>4</v>
      </c>
      <c r="G2" s="1" t="s">
        <v>5</v>
      </c>
    </row>
    <row r="3" spans="2:7" x14ac:dyDescent="0.3">
      <c r="B3" s="1">
        <f>IF(C3="","",1)</f>
        <v>1</v>
      </c>
      <c r="C3" s="3" t="s">
        <v>7</v>
      </c>
      <c r="D3" s="2">
        <v>46079</v>
      </c>
      <c r="E3" s="2">
        <f>IF(F3="","",D3+F3-1)</f>
        <v>46081</v>
      </c>
      <c r="F3" s="4">
        <v>3</v>
      </c>
      <c r="G3" s="1" t="s">
        <v>6</v>
      </c>
    </row>
    <row r="4" spans="2:7" x14ac:dyDescent="0.3">
      <c r="B4" s="1">
        <f>IF(C4="","",B3+1)</f>
        <v>2</v>
      </c>
      <c r="C4" s="3" t="s">
        <v>9</v>
      </c>
      <c r="D4" s="2">
        <f>IF(OR((F3=""),(C4="")),"",E3+1)</f>
        <v>46082</v>
      </c>
      <c r="E4" s="2">
        <f>IF(F4="","",D4+F4-1)</f>
        <v>46088</v>
      </c>
      <c r="F4" s="4">
        <v>7</v>
      </c>
      <c r="G4" s="1" t="s">
        <v>6</v>
      </c>
    </row>
    <row r="5" spans="2:7" x14ac:dyDescent="0.3">
      <c r="B5" s="1">
        <f>IF(C5="","",B4+1)</f>
        <v>3</v>
      </c>
      <c r="C5" s="3" t="s">
        <v>8</v>
      </c>
      <c r="D5" s="2">
        <f t="shared" ref="D5:D34" si="0">IF(OR((F4=""),(C5="")),"",E4+1)</f>
        <v>46089</v>
      </c>
      <c r="E5" s="2">
        <f t="shared" ref="E5:E34" si="1">IF(F5="","",D5+F5-1)</f>
        <v>46095</v>
      </c>
      <c r="F5" s="4">
        <v>7</v>
      </c>
      <c r="G5" s="1" t="s">
        <v>6</v>
      </c>
    </row>
    <row r="6" spans="2:7" x14ac:dyDescent="0.3">
      <c r="B6" s="1">
        <f t="shared" ref="B6:B34" si="2">IF(C6="","",B5+1)</f>
        <v>4</v>
      </c>
      <c r="C6" s="3" t="s">
        <v>10</v>
      </c>
      <c r="D6" s="2">
        <f t="shared" si="0"/>
        <v>46096</v>
      </c>
      <c r="E6" s="2">
        <f t="shared" si="1"/>
        <v>46102</v>
      </c>
      <c r="F6" s="4">
        <v>7</v>
      </c>
      <c r="G6" s="1" t="s">
        <v>6</v>
      </c>
    </row>
    <row r="7" spans="2:7" x14ac:dyDescent="0.3">
      <c r="B7" s="1">
        <f t="shared" si="2"/>
        <v>5</v>
      </c>
      <c r="C7" s="3" t="s">
        <v>11</v>
      </c>
      <c r="D7" s="2">
        <f t="shared" si="0"/>
        <v>46103</v>
      </c>
      <c r="E7" s="2">
        <f t="shared" si="1"/>
        <v>46116</v>
      </c>
      <c r="F7" s="4">
        <v>14</v>
      </c>
      <c r="G7" s="1" t="s">
        <v>6</v>
      </c>
    </row>
    <row r="8" spans="2:7" x14ac:dyDescent="0.3">
      <c r="B8" s="1">
        <f t="shared" si="2"/>
        <v>6</v>
      </c>
      <c r="C8" s="3" t="s">
        <v>12</v>
      </c>
      <c r="D8" s="2">
        <f t="shared" si="0"/>
        <v>46117</v>
      </c>
      <c r="E8" s="2">
        <f t="shared" si="1"/>
        <v>46123</v>
      </c>
      <c r="F8" s="4">
        <v>7</v>
      </c>
      <c r="G8" s="1" t="s">
        <v>6</v>
      </c>
    </row>
    <row r="9" spans="2:7" x14ac:dyDescent="0.3">
      <c r="B9" s="1" t="str">
        <f t="shared" si="2"/>
        <v/>
      </c>
      <c r="D9" s="2" t="str">
        <f t="shared" si="0"/>
        <v/>
      </c>
      <c r="E9" s="2" t="str">
        <f t="shared" si="1"/>
        <v/>
      </c>
    </row>
    <row r="10" spans="2:7" x14ac:dyDescent="0.3">
      <c r="B10" s="1" t="str">
        <f t="shared" si="2"/>
        <v/>
      </c>
      <c r="D10" s="2" t="str">
        <f t="shared" si="0"/>
        <v/>
      </c>
      <c r="E10" s="2" t="str">
        <f t="shared" si="1"/>
        <v/>
      </c>
    </row>
    <row r="11" spans="2:7" x14ac:dyDescent="0.3">
      <c r="B11" s="1" t="str">
        <f t="shared" si="2"/>
        <v/>
      </c>
      <c r="D11" s="2" t="str">
        <f t="shared" si="0"/>
        <v/>
      </c>
      <c r="E11" s="2" t="str">
        <f t="shared" si="1"/>
        <v/>
      </c>
    </row>
    <row r="12" spans="2:7" x14ac:dyDescent="0.3">
      <c r="B12" s="1" t="str">
        <f t="shared" si="2"/>
        <v/>
      </c>
      <c r="D12" s="2" t="str">
        <f t="shared" si="0"/>
        <v/>
      </c>
      <c r="E12" s="2" t="str">
        <f t="shared" si="1"/>
        <v/>
      </c>
    </row>
    <row r="13" spans="2:7" x14ac:dyDescent="0.3">
      <c r="B13" s="1" t="str">
        <f t="shared" si="2"/>
        <v/>
      </c>
      <c r="D13" s="2" t="str">
        <f t="shared" si="0"/>
        <v/>
      </c>
      <c r="E13" s="2" t="str">
        <f t="shared" si="1"/>
        <v/>
      </c>
    </row>
    <row r="14" spans="2:7" x14ac:dyDescent="0.3">
      <c r="B14" s="1" t="str">
        <f t="shared" si="2"/>
        <v/>
      </c>
      <c r="D14" s="2" t="str">
        <f t="shared" si="0"/>
        <v/>
      </c>
      <c r="E14" s="2" t="str">
        <f t="shared" si="1"/>
        <v/>
      </c>
    </row>
    <row r="15" spans="2:7" x14ac:dyDescent="0.3">
      <c r="B15" s="1" t="str">
        <f t="shared" si="2"/>
        <v/>
      </c>
      <c r="D15" s="2" t="str">
        <f t="shared" si="0"/>
        <v/>
      </c>
      <c r="E15" s="2" t="str">
        <f t="shared" si="1"/>
        <v/>
      </c>
    </row>
    <row r="16" spans="2:7" x14ac:dyDescent="0.3">
      <c r="B16" s="1" t="str">
        <f t="shared" si="2"/>
        <v/>
      </c>
      <c r="D16" s="2" t="str">
        <f t="shared" si="0"/>
        <v/>
      </c>
      <c r="E16" s="2" t="str">
        <f t="shared" si="1"/>
        <v/>
      </c>
    </row>
    <row r="17" spans="2:5" x14ac:dyDescent="0.3">
      <c r="B17" s="1" t="str">
        <f t="shared" si="2"/>
        <v/>
      </c>
      <c r="D17" s="2" t="str">
        <f t="shared" si="0"/>
        <v/>
      </c>
      <c r="E17" s="2" t="str">
        <f t="shared" si="1"/>
        <v/>
      </c>
    </row>
    <row r="18" spans="2:5" x14ac:dyDescent="0.3">
      <c r="B18" s="1" t="str">
        <f t="shared" si="2"/>
        <v/>
      </c>
      <c r="D18" s="2" t="str">
        <f t="shared" si="0"/>
        <v/>
      </c>
      <c r="E18" s="2" t="str">
        <f t="shared" si="1"/>
        <v/>
      </c>
    </row>
    <row r="19" spans="2:5" x14ac:dyDescent="0.3">
      <c r="B19" s="1" t="str">
        <f t="shared" si="2"/>
        <v/>
      </c>
      <c r="D19" s="2" t="str">
        <f t="shared" si="0"/>
        <v/>
      </c>
      <c r="E19" s="2" t="str">
        <f t="shared" si="1"/>
        <v/>
      </c>
    </row>
    <row r="20" spans="2:5" x14ac:dyDescent="0.3">
      <c r="B20" s="1" t="str">
        <f t="shared" si="2"/>
        <v/>
      </c>
      <c r="D20" s="2" t="str">
        <f t="shared" si="0"/>
        <v/>
      </c>
      <c r="E20" s="2" t="str">
        <f t="shared" si="1"/>
        <v/>
      </c>
    </row>
    <row r="21" spans="2:5" x14ac:dyDescent="0.3">
      <c r="B21" s="1" t="str">
        <f t="shared" si="2"/>
        <v/>
      </c>
      <c r="D21" s="2" t="str">
        <f t="shared" si="0"/>
        <v/>
      </c>
      <c r="E21" s="2" t="str">
        <f t="shared" si="1"/>
        <v/>
      </c>
    </row>
    <row r="22" spans="2:5" x14ac:dyDescent="0.3">
      <c r="B22" s="1" t="str">
        <f t="shared" si="2"/>
        <v/>
      </c>
      <c r="D22" s="2" t="str">
        <f t="shared" si="0"/>
        <v/>
      </c>
      <c r="E22" s="2" t="str">
        <f t="shared" si="1"/>
        <v/>
      </c>
    </row>
    <row r="23" spans="2:5" x14ac:dyDescent="0.3">
      <c r="B23" s="1" t="str">
        <f t="shared" si="2"/>
        <v/>
      </c>
      <c r="D23" s="2" t="str">
        <f t="shared" si="0"/>
        <v/>
      </c>
      <c r="E23" s="2" t="str">
        <f t="shared" si="1"/>
        <v/>
      </c>
    </row>
    <row r="24" spans="2:5" x14ac:dyDescent="0.3">
      <c r="B24" s="1" t="str">
        <f t="shared" si="2"/>
        <v/>
      </c>
      <c r="D24" s="2" t="str">
        <f t="shared" si="0"/>
        <v/>
      </c>
      <c r="E24" s="2" t="str">
        <f t="shared" si="1"/>
        <v/>
      </c>
    </row>
    <row r="25" spans="2:5" x14ac:dyDescent="0.3">
      <c r="B25" s="1" t="str">
        <f t="shared" si="2"/>
        <v/>
      </c>
      <c r="D25" s="2" t="str">
        <f t="shared" si="0"/>
        <v/>
      </c>
      <c r="E25" s="2" t="str">
        <f t="shared" si="1"/>
        <v/>
      </c>
    </row>
    <row r="26" spans="2:5" x14ac:dyDescent="0.3">
      <c r="B26" s="1" t="str">
        <f t="shared" si="2"/>
        <v/>
      </c>
      <c r="D26" s="2" t="str">
        <f t="shared" si="0"/>
        <v/>
      </c>
      <c r="E26" s="2" t="str">
        <f t="shared" si="1"/>
        <v/>
      </c>
    </row>
    <row r="27" spans="2:5" x14ac:dyDescent="0.3">
      <c r="B27" s="1" t="str">
        <f t="shared" si="2"/>
        <v/>
      </c>
      <c r="D27" s="2" t="str">
        <f t="shared" si="0"/>
        <v/>
      </c>
      <c r="E27" s="2" t="str">
        <f t="shared" si="1"/>
        <v/>
      </c>
    </row>
    <row r="28" spans="2:5" x14ac:dyDescent="0.3">
      <c r="B28" s="1" t="str">
        <f t="shared" si="2"/>
        <v/>
      </c>
      <c r="D28" s="2" t="str">
        <f t="shared" si="0"/>
        <v/>
      </c>
      <c r="E28" s="2" t="str">
        <f t="shared" si="1"/>
        <v/>
      </c>
    </row>
    <row r="29" spans="2:5" x14ac:dyDescent="0.3">
      <c r="B29" s="1" t="str">
        <f t="shared" si="2"/>
        <v/>
      </c>
      <c r="D29" s="2" t="str">
        <f t="shared" si="0"/>
        <v/>
      </c>
      <c r="E29" s="2" t="str">
        <f t="shared" si="1"/>
        <v/>
      </c>
    </row>
    <row r="30" spans="2:5" x14ac:dyDescent="0.3">
      <c r="B30" s="1" t="str">
        <f t="shared" si="2"/>
        <v/>
      </c>
      <c r="D30" s="2" t="str">
        <f t="shared" si="0"/>
        <v/>
      </c>
      <c r="E30" s="2" t="str">
        <f t="shared" si="1"/>
        <v/>
      </c>
    </row>
    <row r="31" spans="2:5" x14ac:dyDescent="0.3">
      <c r="B31" s="1" t="str">
        <f t="shared" si="2"/>
        <v/>
      </c>
      <c r="D31" s="2" t="str">
        <f t="shared" si="0"/>
        <v/>
      </c>
      <c r="E31" s="2" t="str">
        <f t="shared" si="1"/>
        <v/>
      </c>
    </row>
    <row r="32" spans="2:5" x14ac:dyDescent="0.3">
      <c r="B32" s="1" t="str">
        <f t="shared" si="2"/>
        <v/>
      </c>
      <c r="D32" s="2" t="str">
        <f t="shared" si="0"/>
        <v/>
      </c>
      <c r="E32" s="2" t="str">
        <f t="shared" si="1"/>
        <v/>
      </c>
    </row>
    <row r="33" spans="2:5" x14ac:dyDescent="0.3">
      <c r="B33" s="1" t="str">
        <f t="shared" si="2"/>
        <v/>
      </c>
      <c r="D33" s="2" t="str">
        <f t="shared" si="0"/>
        <v/>
      </c>
      <c r="E33" s="2" t="str">
        <f t="shared" si="1"/>
        <v/>
      </c>
    </row>
    <row r="34" spans="2:5" x14ac:dyDescent="0.3">
      <c r="B34" s="1" t="str">
        <f t="shared" si="2"/>
        <v/>
      </c>
      <c r="D34" s="2" t="str">
        <f t="shared" si="0"/>
        <v/>
      </c>
      <c r="E34" s="2" t="str">
        <f t="shared" si="1"/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CF49-7F71-4120-9ED3-CCB7A1DC8244}">
  <dimension ref="B2:D20"/>
  <sheetViews>
    <sheetView showGridLines="0" workbookViewId="0">
      <selection activeCell="D6" sqref="D6"/>
    </sheetView>
  </sheetViews>
  <sheetFormatPr defaultColWidth="8.625" defaultRowHeight="16.5" x14ac:dyDescent="0.3"/>
  <cols>
    <col min="1" max="2" width="2.625" style="1" customWidth="1"/>
    <col min="3" max="3" width="20.625" style="1" customWidth="1"/>
    <col min="4" max="4" width="50.625" style="1" customWidth="1"/>
    <col min="5" max="16384" width="8.625" style="1"/>
  </cols>
  <sheetData>
    <row r="2" spans="2:4" x14ac:dyDescent="0.3">
      <c r="B2" s="1" t="s">
        <v>0</v>
      </c>
      <c r="C2" s="1" t="s">
        <v>13</v>
      </c>
      <c r="D2" s="1" t="s">
        <v>29</v>
      </c>
    </row>
    <row r="3" spans="2:4" x14ac:dyDescent="0.3">
      <c r="B3" s="1">
        <f>IF(C3="","",1)</f>
        <v>1</v>
      </c>
      <c r="C3" s="1" t="s">
        <v>15</v>
      </c>
    </row>
    <row r="4" spans="2:4" ht="66" x14ac:dyDescent="0.3">
      <c r="B4" s="1">
        <f t="shared" ref="B4:B20" si="0">IF(C4="","",B3+1)</f>
        <v>2</v>
      </c>
      <c r="C4" s="1" t="s">
        <v>14</v>
      </c>
      <c r="D4" s="10" t="s">
        <v>30</v>
      </c>
    </row>
    <row r="5" spans="2:4" ht="33" x14ac:dyDescent="0.3">
      <c r="B5" s="1">
        <f t="shared" si="0"/>
        <v>3</v>
      </c>
      <c r="C5" s="11" t="s">
        <v>31</v>
      </c>
      <c r="D5" s="11" t="s">
        <v>32</v>
      </c>
    </row>
    <row r="6" spans="2:4" ht="49.5" x14ac:dyDescent="0.3">
      <c r="B6" s="1">
        <f t="shared" si="0"/>
        <v>4</v>
      </c>
      <c r="C6" s="1" t="s">
        <v>33</v>
      </c>
      <c r="D6" s="11" t="s">
        <v>34</v>
      </c>
    </row>
    <row r="7" spans="2:4" x14ac:dyDescent="0.3">
      <c r="B7" s="1" t="str">
        <f t="shared" si="0"/>
        <v/>
      </c>
    </row>
    <row r="8" spans="2:4" x14ac:dyDescent="0.3">
      <c r="B8" s="1" t="str">
        <f t="shared" si="0"/>
        <v/>
      </c>
    </row>
    <row r="9" spans="2:4" x14ac:dyDescent="0.3">
      <c r="B9" s="1" t="str">
        <f t="shared" si="0"/>
        <v/>
      </c>
    </row>
    <row r="10" spans="2:4" x14ac:dyDescent="0.3">
      <c r="B10" s="1" t="str">
        <f t="shared" si="0"/>
        <v/>
      </c>
    </row>
    <row r="11" spans="2:4" x14ac:dyDescent="0.3">
      <c r="B11" s="1" t="str">
        <f t="shared" si="0"/>
        <v/>
      </c>
    </row>
    <row r="12" spans="2:4" x14ac:dyDescent="0.3">
      <c r="B12" s="1" t="str">
        <f t="shared" si="0"/>
        <v/>
      </c>
    </row>
    <row r="13" spans="2:4" x14ac:dyDescent="0.3">
      <c r="B13" s="1" t="str">
        <f t="shared" si="0"/>
        <v/>
      </c>
    </row>
    <row r="14" spans="2:4" x14ac:dyDescent="0.3">
      <c r="B14" s="1" t="str">
        <f t="shared" si="0"/>
        <v/>
      </c>
    </row>
    <row r="15" spans="2:4" x14ac:dyDescent="0.3">
      <c r="B15" s="1" t="str">
        <f t="shared" si="0"/>
        <v/>
      </c>
    </row>
    <row r="16" spans="2:4" x14ac:dyDescent="0.3">
      <c r="B16" s="1" t="str">
        <f t="shared" si="0"/>
        <v/>
      </c>
    </row>
    <row r="17" spans="2:2" x14ac:dyDescent="0.3">
      <c r="B17" s="1" t="str">
        <f t="shared" si="0"/>
        <v/>
      </c>
    </row>
    <row r="18" spans="2:2" x14ac:dyDescent="0.3">
      <c r="B18" s="1" t="str">
        <f t="shared" si="0"/>
        <v/>
      </c>
    </row>
    <row r="19" spans="2:2" x14ac:dyDescent="0.3">
      <c r="B19" s="1" t="str">
        <f t="shared" si="0"/>
        <v/>
      </c>
    </row>
    <row r="20" spans="2:2" x14ac:dyDescent="0.3">
      <c r="B20" s="1" t="str">
        <f t="shared" si="0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2033-4B4E-4A2A-B38E-DB6853B9FE63}">
  <dimension ref="B2:E13"/>
  <sheetViews>
    <sheetView showGridLines="0" workbookViewId="0">
      <selection activeCell="C5" sqref="C5"/>
    </sheetView>
  </sheetViews>
  <sheetFormatPr defaultColWidth="8.625" defaultRowHeight="16.5" x14ac:dyDescent="0.3"/>
  <cols>
    <col min="1" max="1" width="2.625" customWidth="1"/>
    <col min="2" max="2" width="18.625" style="1" customWidth="1"/>
    <col min="3" max="4" width="12.625" style="1" customWidth="1"/>
    <col min="5" max="5" width="8.625" style="1"/>
  </cols>
  <sheetData>
    <row r="2" spans="2:5" x14ac:dyDescent="0.3">
      <c r="B2" s="1" t="s">
        <v>41</v>
      </c>
      <c r="C2" s="12" t="s">
        <v>43</v>
      </c>
      <c r="D2" s="12"/>
      <c r="E2" s="1" t="s">
        <v>56</v>
      </c>
    </row>
    <row r="3" spans="2:5" x14ac:dyDescent="0.3">
      <c r="B3" s="3" t="s">
        <v>42</v>
      </c>
      <c r="C3" s="1" t="s">
        <v>45</v>
      </c>
      <c r="D3" s="1" t="s">
        <v>66</v>
      </c>
      <c r="E3" s="1" t="s">
        <v>57</v>
      </c>
    </row>
    <row r="4" spans="2:5" x14ac:dyDescent="0.3">
      <c r="B4" s="3" t="s">
        <v>36</v>
      </c>
      <c r="C4" s="1" t="s">
        <v>46</v>
      </c>
      <c r="D4" s="1" t="s">
        <v>47</v>
      </c>
      <c r="E4" s="1" t="s">
        <v>58</v>
      </c>
    </row>
    <row r="5" spans="2:5" x14ac:dyDescent="0.3">
      <c r="B5" s="3" t="s">
        <v>37</v>
      </c>
      <c r="C5" s="1" t="s">
        <v>48</v>
      </c>
      <c r="D5" s="1" t="s">
        <v>49</v>
      </c>
      <c r="E5" s="1" t="s">
        <v>58</v>
      </c>
    </row>
    <row r="6" spans="2:5" x14ac:dyDescent="0.3">
      <c r="B6" s="3" t="s">
        <v>44</v>
      </c>
      <c r="C6" s="1" t="s">
        <v>50</v>
      </c>
      <c r="D6" s="1" t="s">
        <v>51</v>
      </c>
      <c r="E6" s="1" t="s">
        <v>59</v>
      </c>
    </row>
    <row r="7" spans="2:5" x14ac:dyDescent="0.3">
      <c r="B7" s="3" t="s">
        <v>38</v>
      </c>
      <c r="C7" s="1" t="s">
        <v>52</v>
      </c>
      <c r="D7" s="1" t="s">
        <v>53</v>
      </c>
      <c r="E7" s="1" t="s">
        <v>59</v>
      </c>
    </row>
    <row r="8" spans="2:5" x14ac:dyDescent="0.3">
      <c r="B8" s="3" t="s">
        <v>35</v>
      </c>
      <c r="C8" s="1" t="s">
        <v>54</v>
      </c>
      <c r="D8" s="1" t="s">
        <v>55</v>
      </c>
      <c r="E8" s="1" t="s">
        <v>58</v>
      </c>
    </row>
    <row r="9" spans="2:5" x14ac:dyDescent="0.3">
      <c r="B9" s="3" t="s">
        <v>40</v>
      </c>
      <c r="C9" s="1" t="s">
        <v>60</v>
      </c>
      <c r="D9" s="1" t="s">
        <v>60</v>
      </c>
      <c r="E9" s="1" t="s">
        <v>57</v>
      </c>
    </row>
    <row r="10" spans="2:5" x14ac:dyDescent="0.3">
      <c r="B10" s="3" t="s">
        <v>39</v>
      </c>
      <c r="C10" s="1" t="s">
        <v>61</v>
      </c>
      <c r="D10" s="1" t="s">
        <v>62</v>
      </c>
      <c r="E10" s="1" t="s">
        <v>57</v>
      </c>
    </row>
    <row r="11" spans="2:5" x14ac:dyDescent="0.3">
      <c r="B11" s="3" t="s">
        <v>72</v>
      </c>
      <c r="C11" s="1" t="s">
        <v>63</v>
      </c>
      <c r="D11" s="1" t="s">
        <v>64</v>
      </c>
      <c r="E11" s="1" t="s">
        <v>57</v>
      </c>
    </row>
    <row r="12" spans="2:5" x14ac:dyDescent="0.3">
      <c r="B12" s="3" t="s">
        <v>71</v>
      </c>
      <c r="C12" s="1" t="s">
        <v>65</v>
      </c>
      <c r="D12" s="1" t="s">
        <v>67</v>
      </c>
      <c r="E12" s="1" t="s">
        <v>57</v>
      </c>
    </row>
    <row r="13" spans="2:5" x14ac:dyDescent="0.3">
      <c r="B13" s="3" t="s">
        <v>70</v>
      </c>
      <c r="C13" s="1" t="s">
        <v>68</v>
      </c>
      <c r="D13" s="1" t="s">
        <v>69</v>
      </c>
      <c r="E13" s="1" t="s">
        <v>58</v>
      </c>
    </row>
  </sheetData>
  <mergeCells count="1">
    <mergeCell ref="C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618C-83C4-4D14-8C32-40AC543E5199}">
  <dimension ref="B2:G8"/>
  <sheetViews>
    <sheetView showGridLines="0" workbookViewId="0">
      <selection activeCell="I7" sqref="I7"/>
    </sheetView>
  </sheetViews>
  <sheetFormatPr defaultColWidth="8.625" defaultRowHeight="16.5" x14ac:dyDescent="0.3"/>
  <cols>
    <col min="1" max="1" width="2.625" customWidth="1"/>
    <col min="2" max="2" width="2.625" style="5" customWidth="1"/>
    <col min="3" max="3" width="8.625" style="3"/>
  </cols>
  <sheetData>
    <row r="2" spans="2:7" x14ac:dyDescent="0.3">
      <c r="B2" s="13" t="s">
        <v>16</v>
      </c>
      <c r="C2" s="13"/>
      <c r="D2" s="13"/>
      <c r="E2" s="13"/>
      <c r="F2" s="13"/>
      <c r="G2" s="13"/>
    </row>
    <row r="3" spans="2:7" x14ac:dyDescent="0.3">
      <c r="B3" s="13" t="s">
        <v>27</v>
      </c>
      <c r="C3" s="13"/>
      <c r="D3" s="13" t="s">
        <v>28</v>
      </c>
      <c r="E3" s="13"/>
      <c r="F3" s="13"/>
      <c r="G3" s="13"/>
    </row>
    <row r="4" spans="2:7" x14ac:dyDescent="0.3">
      <c r="B4" s="6">
        <v>1</v>
      </c>
      <c r="C4" s="6" t="s">
        <v>17</v>
      </c>
      <c r="D4" s="7" t="s">
        <v>22</v>
      </c>
      <c r="E4" s="8"/>
      <c r="F4" s="8"/>
      <c r="G4" s="9"/>
    </row>
    <row r="5" spans="2:7" x14ac:dyDescent="0.3">
      <c r="B5" s="6">
        <v>2</v>
      </c>
      <c r="C5" s="6" t="s">
        <v>18</v>
      </c>
      <c r="D5" s="7" t="s">
        <v>23</v>
      </c>
      <c r="E5" s="8"/>
      <c r="F5" s="8"/>
      <c r="G5" s="9"/>
    </row>
    <row r="6" spans="2:7" x14ac:dyDescent="0.3">
      <c r="B6" s="6">
        <v>3</v>
      </c>
      <c r="C6" s="6" t="s">
        <v>19</v>
      </c>
      <c r="D6" s="7" t="s">
        <v>24</v>
      </c>
      <c r="E6" s="8"/>
      <c r="F6" s="8"/>
      <c r="G6" s="9"/>
    </row>
    <row r="7" spans="2:7" x14ac:dyDescent="0.3">
      <c r="B7" s="6">
        <v>4</v>
      </c>
      <c r="C7" s="6" t="s">
        <v>20</v>
      </c>
      <c r="D7" s="7" t="s">
        <v>25</v>
      </c>
      <c r="E7" s="8"/>
      <c r="F7" s="8"/>
      <c r="G7" s="9"/>
    </row>
    <row r="8" spans="2:7" x14ac:dyDescent="0.3">
      <c r="B8" s="6">
        <v>5</v>
      </c>
      <c r="C8" s="6" t="s">
        <v>21</v>
      </c>
      <c r="D8" s="7" t="s">
        <v>26</v>
      </c>
      <c r="E8" s="8"/>
      <c r="F8" s="8"/>
      <c r="G8" s="9"/>
    </row>
  </sheetData>
  <mergeCells count="3">
    <mergeCell ref="B3:C3"/>
    <mergeCell ref="D3:G3"/>
    <mergeCell ref="B2:G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579D-FAA6-4F15-B946-E6672032C149}">
  <dimension ref="B2:G14"/>
  <sheetViews>
    <sheetView showGridLines="0" tabSelected="1" workbookViewId="0">
      <selection activeCell="D14" sqref="D14"/>
    </sheetView>
  </sheetViews>
  <sheetFormatPr defaultColWidth="8.625" defaultRowHeight="16.5" x14ac:dyDescent="0.3"/>
  <cols>
    <col min="1" max="1" width="2.625" style="1" customWidth="1"/>
    <col min="2" max="2" width="4" style="1" bestFit="1" customWidth="1"/>
    <col min="3" max="3" width="7.125" style="1" bestFit="1" customWidth="1"/>
    <col min="4" max="4" width="76.75" style="1" bestFit="1" customWidth="1"/>
    <col min="5" max="5" width="43" style="1" bestFit="1" customWidth="1"/>
    <col min="6" max="6" width="11" style="1" bestFit="1" customWidth="1"/>
    <col min="7" max="7" width="2.75" style="1" bestFit="1" customWidth="1"/>
    <col min="8" max="16384" width="8.625" style="1"/>
  </cols>
  <sheetData>
    <row r="2" spans="2:7" x14ac:dyDescent="0.3">
      <c r="B2" s="12" t="s">
        <v>0</v>
      </c>
      <c r="C2" s="12" t="s">
        <v>73</v>
      </c>
      <c r="D2" s="12" t="s">
        <v>94</v>
      </c>
      <c r="E2" s="12" t="s">
        <v>74</v>
      </c>
      <c r="F2" s="12" t="s">
        <v>95</v>
      </c>
      <c r="G2" s="12"/>
    </row>
    <row r="3" spans="2:7" x14ac:dyDescent="0.3">
      <c r="B3" s="12"/>
      <c r="C3" s="12"/>
      <c r="D3" s="12"/>
      <c r="E3" s="12"/>
      <c r="F3" s="1" t="s">
        <v>90</v>
      </c>
      <c r="G3" s="1" t="s">
        <v>91</v>
      </c>
    </row>
    <row r="4" spans="2:7" x14ac:dyDescent="0.3">
      <c r="B4" s="1">
        <v>1</v>
      </c>
      <c r="C4" s="1" t="s">
        <v>77</v>
      </c>
      <c r="D4" s="11" t="s">
        <v>84</v>
      </c>
      <c r="E4" s="1" t="s">
        <v>80</v>
      </c>
      <c r="F4" s="1" t="s">
        <v>92</v>
      </c>
      <c r="G4" s="1" t="s">
        <v>93</v>
      </c>
    </row>
    <row r="5" spans="2:7" x14ac:dyDescent="0.3">
      <c r="B5" s="1">
        <f>B4+1</f>
        <v>2</v>
      </c>
      <c r="C5" s="1" t="s">
        <v>78</v>
      </c>
      <c r="D5" s="11" t="s">
        <v>83</v>
      </c>
      <c r="E5" s="1" t="s">
        <v>81</v>
      </c>
      <c r="F5" s="1" t="s">
        <v>92</v>
      </c>
      <c r="G5" s="1" t="s">
        <v>93</v>
      </c>
    </row>
    <row r="6" spans="2:7" x14ac:dyDescent="0.3">
      <c r="B6" s="1">
        <f>B5+1</f>
        <v>3</v>
      </c>
      <c r="C6" s="1" t="s">
        <v>79</v>
      </c>
      <c r="D6" s="11" t="s">
        <v>85</v>
      </c>
      <c r="E6" s="1" t="s">
        <v>82</v>
      </c>
      <c r="F6" s="1" t="s">
        <v>92</v>
      </c>
      <c r="G6" s="1" t="s">
        <v>93</v>
      </c>
    </row>
    <row r="7" spans="2:7" x14ac:dyDescent="0.3">
      <c r="B7" s="1">
        <f>B6+1</f>
        <v>4</v>
      </c>
      <c r="C7" s="1" t="s">
        <v>75</v>
      </c>
      <c r="D7" s="1" t="s">
        <v>86</v>
      </c>
      <c r="E7" s="1" t="s">
        <v>76</v>
      </c>
      <c r="F7" s="1" t="s">
        <v>92</v>
      </c>
      <c r="G7" s="1" t="s">
        <v>93</v>
      </c>
    </row>
    <row r="8" spans="2:7" x14ac:dyDescent="0.3">
      <c r="B8" s="1">
        <f>B7+1</f>
        <v>5</v>
      </c>
      <c r="C8" s="1" t="s">
        <v>87</v>
      </c>
      <c r="D8" s="1" t="s">
        <v>88</v>
      </c>
      <c r="E8" s="1" t="s">
        <v>89</v>
      </c>
      <c r="F8" s="1" t="s">
        <v>92</v>
      </c>
      <c r="G8" s="1" t="s">
        <v>93</v>
      </c>
    </row>
    <row r="9" spans="2:7" x14ac:dyDescent="0.3">
      <c r="B9" s="1">
        <f>B8+1</f>
        <v>6</v>
      </c>
      <c r="C9" s="1" t="s">
        <v>96</v>
      </c>
      <c r="D9" s="1" t="s">
        <v>98</v>
      </c>
      <c r="E9" s="1" t="s">
        <v>101</v>
      </c>
      <c r="F9" s="1" t="s">
        <v>92</v>
      </c>
      <c r="G9" s="1" t="s">
        <v>93</v>
      </c>
    </row>
    <row r="10" spans="2:7" x14ac:dyDescent="0.3">
      <c r="B10" s="1">
        <f>B9+1</f>
        <v>7</v>
      </c>
      <c r="C10" s="1" t="s">
        <v>97</v>
      </c>
      <c r="D10" s="1" t="s">
        <v>99</v>
      </c>
      <c r="E10" s="1" t="s">
        <v>100</v>
      </c>
      <c r="F10" s="1" t="s">
        <v>92</v>
      </c>
      <c r="G10" s="1" t="s">
        <v>93</v>
      </c>
    </row>
    <row r="11" spans="2:7" x14ac:dyDescent="0.3">
      <c r="B11" s="1">
        <f>B10+1</f>
        <v>8</v>
      </c>
      <c r="C11" s="1" t="s">
        <v>102</v>
      </c>
      <c r="D11" s="1" t="s">
        <v>106</v>
      </c>
      <c r="E11" s="1" t="s">
        <v>109</v>
      </c>
      <c r="F11" s="1" t="s">
        <v>92</v>
      </c>
      <c r="G11" s="1" t="s">
        <v>93</v>
      </c>
    </row>
    <row r="12" spans="2:7" x14ac:dyDescent="0.3">
      <c r="B12" s="1">
        <f>B11+1</f>
        <v>9</v>
      </c>
      <c r="C12" s="1" t="s">
        <v>103</v>
      </c>
      <c r="D12" s="1" t="s">
        <v>107</v>
      </c>
      <c r="E12" s="1" t="s">
        <v>108</v>
      </c>
      <c r="F12" s="1" t="s">
        <v>92</v>
      </c>
      <c r="G12" s="1" t="s">
        <v>93</v>
      </c>
    </row>
    <row r="13" spans="2:7" x14ac:dyDescent="0.3">
      <c r="B13" s="1">
        <f>B12+1</f>
        <v>10</v>
      </c>
      <c r="C13" s="1" t="s">
        <v>104</v>
      </c>
      <c r="D13" s="1" t="s">
        <v>111</v>
      </c>
      <c r="E13" s="1" t="s">
        <v>100</v>
      </c>
      <c r="F13" s="1" t="s">
        <v>92</v>
      </c>
      <c r="G13" s="1" t="s">
        <v>93</v>
      </c>
    </row>
    <row r="14" spans="2:7" x14ac:dyDescent="0.3">
      <c r="B14" s="1">
        <f>B13+1</f>
        <v>11</v>
      </c>
      <c r="C14" s="1" t="s">
        <v>105</v>
      </c>
      <c r="D14" s="1" t="s">
        <v>110</v>
      </c>
      <c r="E14" s="1" t="s">
        <v>108</v>
      </c>
      <c r="F14" s="1" t="s">
        <v>92</v>
      </c>
      <c r="G14" s="1" t="s">
        <v>93</v>
      </c>
    </row>
  </sheetData>
  <mergeCells count="5">
    <mergeCell ref="B2:B3"/>
    <mergeCell ref="C2:C3"/>
    <mergeCell ref="D2:D3"/>
    <mergeCell ref="E2:E3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TASK</vt:lpstr>
      <vt:lpstr>오류사항분석</vt:lpstr>
      <vt:lpstr>MemoryMap</vt:lpstr>
      <vt:lpstr>교안참고</vt:lpstr>
      <vt:lpstr>미구현명령어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강종현</dc:creator>
  <cp:lastModifiedBy>강종현</cp:lastModifiedBy>
  <dcterms:created xsi:type="dcterms:W3CDTF">2026-02-25T13:36:19Z</dcterms:created>
  <dcterms:modified xsi:type="dcterms:W3CDTF">2026-08-14T14:45:12Z</dcterms:modified>
</cp:coreProperties>
</file>