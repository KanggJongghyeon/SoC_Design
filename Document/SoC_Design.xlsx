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 defaultThemeVersion="202300"/>
  <mc:AlternateContent xmlns:mc="http://schemas.openxmlformats.org/markup-compatibility/2006">
    <mc:Choice Requires="x15">
      <x15ac:absPath xmlns:x15ac="http://schemas.microsoft.com/office/spreadsheetml/2010/11/ac" url="V:\SoC_Design\Document\"/>
    </mc:Choice>
  </mc:AlternateContent>
  <xr:revisionPtr revIDLastSave="0" documentId="13_ncr:1_{9B9F66F2-0A02-4CFD-9B81-0DFBBD3718D3}" xr6:coauthVersionLast="47" xr6:coauthVersionMax="47" xr10:uidLastSave="{00000000-0000-0000-0000-000000000000}"/>
  <bookViews>
    <workbookView xWindow="3510" yWindow="3510" windowWidth="21600" windowHeight="11385" activeTab="1" xr2:uid="{813C5046-60F0-40FF-AAC7-48B46C31F73B}"/>
  </bookViews>
  <sheets>
    <sheet name="TASK" sheetId="1" r:id="rId1"/>
    <sheet name="오류사항분석" sheetId="2" r:id="rId2"/>
    <sheet name="교안참고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0" i="2" l="1"/>
  <c r="B19" i="2"/>
  <c r="B18" i="2"/>
  <c r="B17" i="2"/>
  <c r="B16" i="2"/>
  <c r="B15" i="2"/>
  <c r="B14" i="2"/>
  <c r="B13" i="2"/>
  <c r="B12" i="2"/>
  <c r="B11" i="2"/>
  <c r="B10" i="2"/>
  <c r="B9" i="2"/>
  <c r="B8" i="2"/>
  <c r="B7" i="2"/>
  <c r="B6" i="2"/>
  <c r="B5" i="2"/>
  <c r="B3" i="2"/>
  <c r="B4" i="2" s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4" i="1"/>
  <c r="E5" i="1"/>
  <c r="D6" i="1" s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4" i="1"/>
  <c r="D5" i="1" s="1"/>
  <c r="E3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" i="1"/>
  <c r="B4" i="1" s="1"/>
  <c r="B5" i="1" l="1"/>
  <c r="B6" i="1" s="1"/>
  <c r="B7" i="1" s="1"/>
</calcChain>
</file>

<file path=xl/sharedStrings.xml><?xml version="1.0" encoding="utf-8"?>
<sst xmlns="http://schemas.openxmlformats.org/spreadsheetml/2006/main" count="39" uniqueCount="33">
  <si>
    <t>No</t>
    <phoneticPr fontId="1" type="noConversion"/>
  </si>
  <si>
    <t>TASK</t>
    <phoneticPr fontId="1" type="noConversion"/>
  </si>
  <si>
    <t>시작</t>
    <phoneticPr fontId="1" type="noConversion"/>
  </si>
  <si>
    <t>종료</t>
    <phoneticPr fontId="1" type="noConversion"/>
  </si>
  <si>
    <t>기간</t>
    <phoneticPr fontId="1" type="noConversion"/>
  </si>
  <si>
    <t>대분류</t>
    <phoneticPr fontId="1" type="noConversion"/>
  </si>
  <si>
    <t>CPU 설계</t>
    <phoneticPr fontId="1" type="noConversion"/>
  </si>
  <si>
    <t>기존 CPU Logic 분석 (3 Stage)</t>
    <phoneticPr fontId="1" type="noConversion"/>
  </si>
  <si>
    <t>Hazard 관련 Logic Study</t>
    <phoneticPr fontId="1" type="noConversion"/>
  </si>
  <si>
    <t>5 Stage 필요 조건 분석</t>
    <phoneticPr fontId="1" type="noConversion"/>
  </si>
  <si>
    <t>SRAM Study(I/O, 동기/비동기, I-/D-)</t>
    <phoneticPr fontId="1" type="noConversion"/>
  </si>
  <si>
    <t>CPU Logic 설계</t>
    <phoneticPr fontId="1" type="noConversion"/>
  </si>
  <si>
    <t>Logic 검증 (TB : #readmemh + $display)</t>
    <phoneticPr fontId="1" type="noConversion"/>
  </si>
  <si>
    <t>오류사항</t>
    <phoneticPr fontId="1" type="noConversion"/>
  </si>
  <si>
    <t>lw 타이밍 문제</t>
    <phoneticPr fontId="1" type="noConversion"/>
  </si>
  <si>
    <t>beq 타이밍 문제</t>
    <phoneticPr fontId="1" type="noConversion"/>
  </si>
  <si>
    <t>MIPS Pipeline</t>
    <phoneticPr fontId="1" type="noConversion"/>
  </si>
  <si>
    <t>IF</t>
    <phoneticPr fontId="1" type="noConversion"/>
  </si>
  <si>
    <t>ID</t>
    <phoneticPr fontId="1" type="noConversion"/>
  </si>
  <si>
    <t>EX</t>
    <phoneticPr fontId="1" type="noConversion"/>
  </si>
  <si>
    <t>MEM</t>
    <phoneticPr fontId="1" type="noConversion"/>
  </si>
  <si>
    <t>WB</t>
    <phoneticPr fontId="1" type="noConversion"/>
  </si>
  <si>
    <t>Instruction Fetch from Memory</t>
    <phoneticPr fontId="1" type="noConversion"/>
  </si>
  <si>
    <t>Instruction Decode and Register Read</t>
    <phoneticPr fontId="1" type="noConversion"/>
  </si>
  <si>
    <t>Execute Operation or Calculate ADDR</t>
    <phoneticPr fontId="1" type="noConversion"/>
  </si>
  <si>
    <t>Access Memory Operand</t>
    <phoneticPr fontId="1" type="noConversion"/>
  </si>
  <si>
    <t>Write Result Back to Register</t>
    <phoneticPr fontId="1" type="noConversion"/>
  </si>
  <si>
    <t>Stage</t>
    <phoneticPr fontId="1" type="noConversion"/>
  </si>
  <si>
    <t>Description</t>
    <phoneticPr fontId="1" type="noConversion"/>
  </si>
  <si>
    <t>해결방법</t>
    <phoneticPr fontId="1" type="noConversion"/>
  </si>
  <si>
    <t>rd 레지스터를 버퍼를 둬서 한 사이클 더 가지고 있어야함
++ mux로 memtoreg_flag 신호 가지고 rd 판단
++ 대신 Registers에 들어가는 wdata도 memtoreg_flag로 판단</t>
    <phoneticPr fontId="1" type="noConversion"/>
  </si>
  <si>
    <t>5-Stage RegWrite
타이밍 문제</t>
    <phoneticPr fontId="1" type="noConversion"/>
  </si>
  <si>
    <t>rd 레지스터 및 reg_wdata를 가지고 있어야함
최소 2,3개 버퍼를 둬야할듯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</si>
</sst>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yyyy/mm/dd;@"/>
    <numFmt numFmtId="177" formatCode="0&quot;일&quot;"/>
  </numFmts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13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176" fontId="0" fillId="0" borderId="0" xfId="0" applyNumberFormat="1" applyAlignment="1">
      <alignment horizontal="center" vertical="center"/>
    </xf>
    <xf numFmtId="0" fontId="0" fillId="0" borderId="0" xfId="0" applyAlignment="1">
      <alignment horizontal="left" vertical="center"/>
    </xf>
    <xf numFmtId="177" fontId="0" fillId="0" borderId="0" xfId="0" applyNumberFormat="1" applyAlignment="1">
      <alignment horizontal="center" vertical="center"/>
    </xf>
    <xf numFmtId="0" fontId="0" fillId="0" borderId="0" xfId="0" applyAlignment="1">
      <alignment horizontal="right" vertical="center"/>
    </xf>
    <xf numFmtId="0" fontId="0" fillId="0" borderId="1" xfId="0" applyBorder="1" applyAlignment="1">
      <alignment horizontal="center" vertical="center"/>
    </xf>
    <xf numFmtId="0" fontId="0" fillId="0" borderId="2" xfId="0" applyBorder="1">
      <alignment vertical="center"/>
    </xf>
    <xf numFmtId="0" fontId="0" fillId="0" borderId="3" xfId="0" applyBorder="1">
      <alignment vertical="center"/>
    </xf>
    <xf numFmtId="0" fontId="0" fillId="0" borderId="4" xfId="0" applyBorder="1">
      <alignment vertical="center"/>
    </xf>
    <xf numFmtId="0" fontId="0" fillId="0" borderId="0" xfId="0" applyAlignment="1">
      <alignment horizontal="left" vertical="center" wrapText="1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55C11C-1620-411A-9B2F-3F513CAF246A}">
  <dimension ref="B1:G34"/>
  <sheetViews>
    <sheetView showGridLines="0" workbookViewId="0">
      <selection activeCell="G8" sqref="C7:G8"/>
    </sheetView>
  </sheetViews>
  <sheetFormatPr defaultColWidth="8.625" defaultRowHeight="16.5" x14ac:dyDescent="0.3"/>
  <cols>
    <col min="1" max="1" width="2.625" style="1" customWidth="1"/>
    <col min="2" max="2" width="8.625" style="1"/>
    <col min="3" max="3" width="37.5" style="3" customWidth="1"/>
    <col min="4" max="5" width="12.625" style="2" customWidth="1"/>
    <col min="6" max="6" width="8.625" style="4"/>
    <col min="7" max="7" width="16.375" style="1" customWidth="1"/>
    <col min="8" max="16384" width="8.625" style="1"/>
  </cols>
  <sheetData>
    <row r="1" spans="2:7" x14ac:dyDescent="0.3">
      <c r="C1" s="1"/>
    </row>
    <row r="2" spans="2:7" x14ac:dyDescent="0.3">
      <c r="B2" s="1" t="s">
        <v>0</v>
      </c>
      <c r="C2" s="1" t="s">
        <v>1</v>
      </c>
      <c r="D2" s="2" t="s">
        <v>2</v>
      </c>
      <c r="E2" s="2" t="s">
        <v>3</v>
      </c>
      <c r="F2" s="4" t="s">
        <v>4</v>
      </c>
      <c r="G2" s="1" t="s">
        <v>5</v>
      </c>
    </row>
    <row r="3" spans="2:7" x14ac:dyDescent="0.3">
      <c r="B3" s="1">
        <f>IF(C3="","",1)</f>
        <v>1</v>
      </c>
      <c r="C3" s="3" t="s">
        <v>7</v>
      </c>
      <c r="D3" s="2">
        <v>46079</v>
      </c>
      <c r="E3" s="2">
        <f>IF(F3="","",D3+F3-1)</f>
        <v>46081</v>
      </c>
      <c r="F3" s="4">
        <v>3</v>
      </c>
      <c r="G3" s="1" t="s">
        <v>6</v>
      </c>
    </row>
    <row r="4" spans="2:7" x14ac:dyDescent="0.3">
      <c r="B4" s="1">
        <f>IF(C4="","",B3+1)</f>
        <v>2</v>
      </c>
      <c r="C4" s="3" t="s">
        <v>9</v>
      </c>
      <c r="D4" s="2">
        <f>IF(OR((F3=""),(C4="")),"",E3+1)</f>
        <v>46082</v>
      </c>
      <c r="E4" s="2">
        <f>IF(F4="","",D4+F4-1)</f>
        <v>46088</v>
      </c>
      <c r="F4" s="4">
        <v>7</v>
      </c>
      <c r="G4" s="1" t="s">
        <v>6</v>
      </c>
    </row>
    <row r="5" spans="2:7" x14ac:dyDescent="0.3">
      <c r="B5" s="1">
        <f>IF(C5="","",B4+1)</f>
        <v>3</v>
      </c>
      <c r="C5" s="3" t="s">
        <v>8</v>
      </c>
      <c r="D5" s="2">
        <f t="shared" ref="D5:D34" si="0">IF(OR((F4=""),(C5="")),"",E4+1)</f>
        <v>46089</v>
      </c>
      <c r="E5" s="2">
        <f t="shared" ref="E5:E34" si="1">IF(F5="","",D5+F5-1)</f>
        <v>46095</v>
      </c>
      <c r="F5" s="4">
        <v>7</v>
      </c>
      <c r="G5" s="1" t="s">
        <v>6</v>
      </c>
    </row>
    <row r="6" spans="2:7" x14ac:dyDescent="0.3">
      <c r="B6" s="1">
        <f t="shared" ref="B6:B34" si="2">IF(C6="","",B5+1)</f>
        <v>4</v>
      </c>
      <c r="C6" s="3" t="s">
        <v>10</v>
      </c>
      <c r="D6" s="2">
        <f t="shared" si="0"/>
        <v>46096</v>
      </c>
      <c r="E6" s="2">
        <f t="shared" si="1"/>
        <v>46102</v>
      </c>
      <c r="F6" s="4">
        <v>7</v>
      </c>
      <c r="G6" s="1" t="s">
        <v>6</v>
      </c>
    </row>
    <row r="7" spans="2:7" x14ac:dyDescent="0.3">
      <c r="B7" s="1">
        <f t="shared" si="2"/>
        <v>5</v>
      </c>
      <c r="C7" s="3" t="s">
        <v>11</v>
      </c>
      <c r="D7" s="2">
        <f t="shared" si="0"/>
        <v>46103</v>
      </c>
      <c r="E7" s="2">
        <f t="shared" si="1"/>
        <v>46116</v>
      </c>
      <c r="F7" s="4">
        <v>14</v>
      </c>
      <c r="G7" s="1" t="s">
        <v>6</v>
      </c>
    </row>
    <row r="8" spans="2:7" x14ac:dyDescent="0.3">
      <c r="B8" s="1">
        <f t="shared" si="2"/>
        <v>6</v>
      </c>
      <c r="C8" s="3" t="s">
        <v>12</v>
      </c>
      <c r="D8" s="2">
        <f t="shared" si="0"/>
        <v>46117</v>
      </c>
      <c r="E8" s="2">
        <f t="shared" si="1"/>
        <v>46123</v>
      </c>
      <c r="F8" s="4">
        <v>7</v>
      </c>
      <c r="G8" s="1" t="s">
        <v>6</v>
      </c>
    </row>
    <row r="9" spans="2:7" x14ac:dyDescent="0.3">
      <c r="B9" s="1" t="str">
        <f t="shared" si="2"/>
        <v/>
      </c>
      <c r="D9" s="2" t="str">
        <f t="shared" si="0"/>
        <v/>
      </c>
      <c r="E9" s="2" t="str">
        <f t="shared" si="1"/>
        <v/>
      </c>
    </row>
    <row r="10" spans="2:7" x14ac:dyDescent="0.3">
      <c r="B10" s="1" t="str">
        <f t="shared" si="2"/>
        <v/>
      </c>
      <c r="D10" s="2" t="str">
        <f t="shared" si="0"/>
        <v/>
      </c>
      <c r="E10" s="2" t="str">
        <f t="shared" si="1"/>
        <v/>
      </c>
    </row>
    <row r="11" spans="2:7" x14ac:dyDescent="0.3">
      <c r="B11" s="1" t="str">
        <f t="shared" si="2"/>
        <v/>
      </c>
      <c r="D11" s="2" t="str">
        <f t="shared" si="0"/>
        <v/>
      </c>
      <c r="E11" s="2" t="str">
        <f t="shared" si="1"/>
        <v/>
      </c>
    </row>
    <row r="12" spans="2:7" x14ac:dyDescent="0.3">
      <c r="B12" s="1" t="str">
        <f t="shared" si="2"/>
        <v/>
      </c>
      <c r="D12" s="2" t="str">
        <f t="shared" si="0"/>
        <v/>
      </c>
      <c r="E12" s="2" t="str">
        <f t="shared" si="1"/>
        <v/>
      </c>
    </row>
    <row r="13" spans="2:7" x14ac:dyDescent="0.3">
      <c r="B13" s="1" t="str">
        <f t="shared" si="2"/>
        <v/>
      </c>
      <c r="D13" s="2" t="str">
        <f t="shared" si="0"/>
        <v/>
      </c>
      <c r="E13" s="2" t="str">
        <f t="shared" si="1"/>
        <v/>
      </c>
    </row>
    <row r="14" spans="2:7" x14ac:dyDescent="0.3">
      <c r="B14" s="1" t="str">
        <f t="shared" si="2"/>
        <v/>
      </c>
      <c r="D14" s="2" t="str">
        <f t="shared" si="0"/>
        <v/>
      </c>
      <c r="E14" s="2" t="str">
        <f t="shared" si="1"/>
        <v/>
      </c>
    </row>
    <row r="15" spans="2:7" x14ac:dyDescent="0.3">
      <c r="B15" s="1" t="str">
        <f t="shared" si="2"/>
        <v/>
      </c>
      <c r="D15" s="2" t="str">
        <f t="shared" si="0"/>
        <v/>
      </c>
      <c r="E15" s="2" t="str">
        <f t="shared" si="1"/>
        <v/>
      </c>
    </row>
    <row r="16" spans="2:7" x14ac:dyDescent="0.3">
      <c r="B16" s="1" t="str">
        <f t="shared" si="2"/>
        <v/>
      </c>
      <c r="D16" s="2" t="str">
        <f t="shared" si="0"/>
        <v/>
      </c>
      <c r="E16" s="2" t="str">
        <f t="shared" si="1"/>
        <v/>
      </c>
    </row>
    <row r="17" spans="2:5" x14ac:dyDescent="0.3">
      <c r="B17" s="1" t="str">
        <f t="shared" si="2"/>
        <v/>
      </c>
      <c r="D17" s="2" t="str">
        <f t="shared" si="0"/>
        <v/>
      </c>
      <c r="E17" s="2" t="str">
        <f t="shared" si="1"/>
        <v/>
      </c>
    </row>
    <row r="18" spans="2:5" x14ac:dyDescent="0.3">
      <c r="B18" s="1" t="str">
        <f t="shared" si="2"/>
        <v/>
      </c>
      <c r="D18" s="2" t="str">
        <f t="shared" si="0"/>
        <v/>
      </c>
      <c r="E18" s="2" t="str">
        <f t="shared" si="1"/>
        <v/>
      </c>
    </row>
    <row r="19" spans="2:5" x14ac:dyDescent="0.3">
      <c r="B19" s="1" t="str">
        <f t="shared" si="2"/>
        <v/>
      </c>
      <c r="D19" s="2" t="str">
        <f t="shared" si="0"/>
        <v/>
      </c>
      <c r="E19" s="2" t="str">
        <f t="shared" si="1"/>
        <v/>
      </c>
    </row>
    <row r="20" spans="2:5" x14ac:dyDescent="0.3">
      <c r="B20" s="1" t="str">
        <f t="shared" si="2"/>
        <v/>
      </c>
      <c r="D20" s="2" t="str">
        <f t="shared" si="0"/>
        <v/>
      </c>
      <c r="E20" s="2" t="str">
        <f t="shared" si="1"/>
        <v/>
      </c>
    </row>
    <row r="21" spans="2:5" x14ac:dyDescent="0.3">
      <c r="B21" s="1" t="str">
        <f t="shared" si="2"/>
        <v/>
      </c>
      <c r="D21" s="2" t="str">
        <f t="shared" si="0"/>
        <v/>
      </c>
      <c r="E21" s="2" t="str">
        <f t="shared" si="1"/>
        <v/>
      </c>
    </row>
    <row r="22" spans="2:5" x14ac:dyDescent="0.3">
      <c r="B22" s="1" t="str">
        <f t="shared" si="2"/>
        <v/>
      </c>
      <c r="D22" s="2" t="str">
        <f t="shared" si="0"/>
        <v/>
      </c>
      <c r="E22" s="2" t="str">
        <f t="shared" si="1"/>
        <v/>
      </c>
    </row>
    <row r="23" spans="2:5" x14ac:dyDescent="0.3">
      <c r="B23" s="1" t="str">
        <f t="shared" si="2"/>
        <v/>
      </c>
      <c r="D23" s="2" t="str">
        <f t="shared" si="0"/>
        <v/>
      </c>
      <c r="E23" s="2" t="str">
        <f t="shared" si="1"/>
        <v/>
      </c>
    </row>
    <row r="24" spans="2:5" x14ac:dyDescent="0.3">
      <c r="B24" s="1" t="str">
        <f t="shared" si="2"/>
        <v/>
      </c>
      <c r="D24" s="2" t="str">
        <f t="shared" si="0"/>
        <v/>
      </c>
      <c r="E24" s="2" t="str">
        <f t="shared" si="1"/>
        <v/>
      </c>
    </row>
    <row r="25" spans="2:5" x14ac:dyDescent="0.3">
      <c r="B25" s="1" t="str">
        <f t="shared" si="2"/>
        <v/>
      </c>
      <c r="D25" s="2" t="str">
        <f t="shared" si="0"/>
        <v/>
      </c>
      <c r="E25" s="2" t="str">
        <f t="shared" si="1"/>
        <v/>
      </c>
    </row>
    <row r="26" spans="2:5" x14ac:dyDescent="0.3">
      <c r="B26" s="1" t="str">
        <f t="shared" si="2"/>
        <v/>
      </c>
      <c r="D26" s="2" t="str">
        <f t="shared" si="0"/>
        <v/>
      </c>
      <c r="E26" s="2" t="str">
        <f t="shared" si="1"/>
        <v/>
      </c>
    </row>
    <row r="27" spans="2:5" x14ac:dyDescent="0.3">
      <c r="B27" s="1" t="str">
        <f t="shared" si="2"/>
        <v/>
      </c>
      <c r="D27" s="2" t="str">
        <f t="shared" si="0"/>
        <v/>
      </c>
      <c r="E27" s="2" t="str">
        <f t="shared" si="1"/>
        <v/>
      </c>
    </row>
    <row r="28" spans="2:5" x14ac:dyDescent="0.3">
      <c r="B28" s="1" t="str">
        <f t="shared" si="2"/>
        <v/>
      </c>
      <c r="D28" s="2" t="str">
        <f t="shared" si="0"/>
        <v/>
      </c>
      <c r="E28" s="2" t="str">
        <f t="shared" si="1"/>
        <v/>
      </c>
    </row>
    <row r="29" spans="2:5" x14ac:dyDescent="0.3">
      <c r="B29" s="1" t="str">
        <f t="shared" si="2"/>
        <v/>
      </c>
      <c r="D29" s="2" t="str">
        <f t="shared" si="0"/>
        <v/>
      </c>
      <c r="E29" s="2" t="str">
        <f t="shared" si="1"/>
        <v/>
      </c>
    </row>
    <row r="30" spans="2:5" x14ac:dyDescent="0.3">
      <c r="B30" s="1" t="str">
        <f t="shared" si="2"/>
        <v/>
      </c>
      <c r="D30" s="2" t="str">
        <f t="shared" si="0"/>
        <v/>
      </c>
      <c r="E30" s="2" t="str">
        <f t="shared" si="1"/>
        <v/>
      </c>
    </row>
    <row r="31" spans="2:5" x14ac:dyDescent="0.3">
      <c r="B31" s="1" t="str">
        <f t="shared" si="2"/>
        <v/>
      </c>
      <c r="D31" s="2" t="str">
        <f t="shared" si="0"/>
        <v/>
      </c>
      <c r="E31" s="2" t="str">
        <f t="shared" si="1"/>
        <v/>
      </c>
    </row>
    <row r="32" spans="2:5" x14ac:dyDescent="0.3">
      <c r="B32" s="1" t="str">
        <f t="shared" si="2"/>
        <v/>
      </c>
      <c r="D32" s="2" t="str">
        <f t="shared" si="0"/>
        <v/>
      </c>
      <c r="E32" s="2" t="str">
        <f t="shared" si="1"/>
        <v/>
      </c>
    </row>
    <row r="33" spans="2:5" x14ac:dyDescent="0.3">
      <c r="B33" s="1" t="str">
        <f t="shared" si="2"/>
        <v/>
      </c>
      <c r="D33" s="2" t="str">
        <f t="shared" si="0"/>
        <v/>
      </c>
      <c r="E33" s="2" t="str">
        <f t="shared" si="1"/>
        <v/>
      </c>
    </row>
    <row r="34" spans="2:5" x14ac:dyDescent="0.3">
      <c r="B34" s="1" t="str">
        <f t="shared" si="2"/>
        <v/>
      </c>
      <c r="D34" s="2" t="str">
        <f t="shared" si="0"/>
        <v/>
      </c>
      <c r="E34" s="2" t="str">
        <f t="shared" si="1"/>
        <v/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8FCF49-7F71-4120-9ED3-CCB7A1DC8244}">
  <dimension ref="B2:D20"/>
  <sheetViews>
    <sheetView showGridLines="0" tabSelected="1" workbookViewId="0">
      <selection activeCell="D5" sqref="D5"/>
    </sheetView>
  </sheetViews>
  <sheetFormatPr defaultColWidth="8.625" defaultRowHeight="16.5" x14ac:dyDescent="0.3"/>
  <cols>
    <col min="1" max="2" width="2.625" style="1" customWidth="1"/>
    <col min="3" max="3" width="20.625" style="1" customWidth="1"/>
    <col min="4" max="4" width="50.625" style="1" customWidth="1"/>
    <col min="5" max="16384" width="8.625" style="1"/>
  </cols>
  <sheetData>
    <row r="2" spans="2:4" x14ac:dyDescent="0.3">
      <c r="B2" s="1" t="s">
        <v>0</v>
      </c>
      <c r="C2" s="1" t="s">
        <v>13</v>
      </c>
      <c r="D2" s="1" t="s">
        <v>29</v>
      </c>
    </row>
    <row r="3" spans="2:4" x14ac:dyDescent="0.3">
      <c r="B3" s="1">
        <f>IF(C3="","",1)</f>
        <v>1</v>
      </c>
      <c r="C3" s="1" t="s">
        <v>15</v>
      </c>
    </row>
    <row r="4" spans="2:4" ht="66" x14ac:dyDescent="0.3">
      <c r="B4" s="1">
        <f t="shared" ref="B4:B20" si="0">IF(C4="","",B3+1)</f>
        <v>2</v>
      </c>
      <c r="C4" s="1" t="s">
        <v>14</v>
      </c>
      <c r="D4" s="10" t="s">
        <v>30</v>
      </c>
    </row>
    <row r="5" spans="2:4" ht="33" x14ac:dyDescent="0.3">
      <c r="B5" s="1">
        <f t="shared" si="0"/>
        <v>3</v>
      </c>
      <c r="C5" s="12" t="s">
        <v>31</v>
      </c>
      <c r="D5" s="12" t="s">
        <v>32</v>
      </c>
    </row>
    <row r="6" spans="2:4" x14ac:dyDescent="0.3">
      <c r="B6" s="1" t="str">
        <f t="shared" si="0"/>
        <v/>
      </c>
    </row>
    <row r="7" spans="2:4" x14ac:dyDescent="0.3">
      <c r="B7" s="1" t="str">
        <f t="shared" si="0"/>
        <v/>
      </c>
    </row>
    <row r="8" spans="2:4" x14ac:dyDescent="0.3">
      <c r="B8" s="1" t="str">
        <f t="shared" si="0"/>
        <v/>
      </c>
    </row>
    <row r="9" spans="2:4" x14ac:dyDescent="0.3">
      <c r="B9" s="1" t="str">
        <f t="shared" si="0"/>
        <v/>
      </c>
    </row>
    <row r="10" spans="2:4" x14ac:dyDescent="0.3">
      <c r="B10" s="1" t="str">
        <f t="shared" si="0"/>
        <v/>
      </c>
    </row>
    <row r="11" spans="2:4" x14ac:dyDescent="0.3">
      <c r="B11" s="1" t="str">
        <f t="shared" si="0"/>
        <v/>
      </c>
    </row>
    <row r="12" spans="2:4" x14ac:dyDescent="0.3">
      <c r="B12" s="1" t="str">
        <f t="shared" si="0"/>
        <v/>
      </c>
    </row>
    <row r="13" spans="2:4" x14ac:dyDescent="0.3">
      <c r="B13" s="1" t="str">
        <f t="shared" si="0"/>
        <v/>
      </c>
    </row>
    <row r="14" spans="2:4" x14ac:dyDescent="0.3">
      <c r="B14" s="1" t="str">
        <f t="shared" si="0"/>
        <v/>
      </c>
    </row>
    <row r="15" spans="2:4" x14ac:dyDescent="0.3">
      <c r="B15" s="1" t="str">
        <f t="shared" si="0"/>
        <v/>
      </c>
    </row>
    <row r="16" spans="2:4" x14ac:dyDescent="0.3">
      <c r="B16" s="1" t="str">
        <f t="shared" si="0"/>
        <v/>
      </c>
    </row>
    <row r="17" spans="2:2" x14ac:dyDescent="0.3">
      <c r="B17" s="1" t="str">
        <f t="shared" si="0"/>
        <v/>
      </c>
    </row>
    <row r="18" spans="2:2" x14ac:dyDescent="0.3">
      <c r="B18" s="1" t="str">
        <f t="shared" si="0"/>
        <v/>
      </c>
    </row>
    <row r="19" spans="2:2" x14ac:dyDescent="0.3">
      <c r="B19" s="1" t="str">
        <f t="shared" si="0"/>
        <v/>
      </c>
    </row>
    <row r="20" spans="2:2" x14ac:dyDescent="0.3">
      <c r="B20" s="1" t="str">
        <f t="shared" si="0"/>
        <v/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03618C-83C4-4D14-8C32-40AC543E5199}">
  <dimension ref="B2:G8"/>
  <sheetViews>
    <sheetView showGridLines="0" workbookViewId="0">
      <selection activeCell="I7" sqref="I7"/>
    </sheetView>
  </sheetViews>
  <sheetFormatPr defaultColWidth="8.625" defaultRowHeight="16.5" x14ac:dyDescent="0.3"/>
  <cols>
    <col min="1" max="1" width="2.625" customWidth="1"/>
    <col min="2" max="2" width="2.625" style="5" customWidth="1"/>
    <col min="3" max="3" width="8.625" style="3"/>
  </cols>
  <sheetData>
    <row r="2" spans="2:7" x14ac:dyDescent="0.3">
      <c r="B2" s="11" t="s">
        <v>16</v>
      </c>
      <c r="C2" s="11"/>
      <c r="D2" s="11"/>
      <c r="E2" s="11"/>
      <c r="F2" s="11"/>
      <c r="G2" s="11"/>
    </row>
    <row r="3" spans="2:7" x14ac:dyDescent="0.3">
      <c r="B3" s="11" t="s">
        <v>27</v>
      </c>
      <c r="C3" s="11"/>
      <c r="D3" s="11" t="s">
        <v>28</v>
      </c>
      <c r="E3" s="11"/>
      <c r="F3" s="11"/>
      <c r="G3" s="11"/>
    </row>
    <row r="4" spans="2:7" x14ac:dyDescent="0.3">
      <c r="B4" s="6">
        <v>1</v>
      </c>
      <c r="C4" s="6" t="s">
        <v>17</v>
      </c>
      <c r="D4" s="7" t="s">
        <v>22</v>
      </c>
      <c r="E4" s="8"/>
      <c r="F4" s="8"/>
      <c r="G4" s="9"/>
    </row>
    <row r="5" spans="2:7" x14ac:dyDescent="0.3">
      <c r="B5" s="6">
        <v>2</v>
      </c>
      <c r="C5" s="6" t="s">
        <v>18</v>
      </c>
      <c r="D5" s="7" t="s">
        <v>23</v>
      </c>
      <c r="E5" s="8"/>
      <c r="F5" s="8"/>
      <c r="G5" s="9"/>
    </row>
    <row r="6" spans="2:7" x14ac:dyDescent="0.3">
      <c r="B6" s="6">
        <v>3</v>
      </c>
      <c r="C6" s="6" t="s">
        <v>19</v>
      </c>
      <c r="D6" s="7" t="s">
        <v>24</v>
      </c>
      <c r="E6" s="8"/>
      <c r="F6" s="8"/>
      <c r="G6" s="9"/>
    </row>
    <row r="7" spans="2:7" x14ac:dyDescent="0.3">
      <c r="B7" s="6">
        <v>4</v>
      </c>
      <c r="C7" s="6" t="s">
        <v>20</v>
      </c>
      <c r="D7" s="7" t="s">
        <v>25</v>
      </c>
      <c r="E7" s="8"/>
      <c r="F7" s="8"/>
      <c r="G7" s="9"/>
    </row>
    <row r="8" spans="2:7" x14ac:dyDescent="0.3">
      <c r="B8" s="6">
        <v>5</v>
      </c>
      <c r="C8" s="6" t="s">
        <v>21</v>
      </c>
      <c r="D8" s="7" t="s">
        <v>26</v>
      </c>
      <c r="E8" s="8"/>
      <c r="F8" s="8"/>
      <c r="G8" s="9"/>
    </row>
  </sheetData>
  <mergeCells count="3">
    <mergeCell ref="B3:C3"/>
    <mergeCell ref="D3:G3"/>
    <mergeCell ref="B2:G2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TASK</vt:lpstr>
      <vt:lpstr>오류사항분석</vt:lpstr>
      <vt:lpstr>교안참고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강종현</dc:creator>
  <cp:lastModifiedBy>강종현</cp:lastModifiedBy>
  <dcterms:created xsi:type="dcterms:W3CDTF">2026-02-25T13:36:19Z</dcterms:created>
  <dcterms:modified xsi:type="dcterms:W3CDTF">2026-04-30T11:10:39Z</dcterms:modified>
</cp:coreProperties>
</file>