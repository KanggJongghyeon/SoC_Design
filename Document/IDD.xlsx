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8F16341D-7116-49B5-8A12-6FA89759AD27}" xr6:coauthVersionLast="47" xr6:coauthVersionMax="47" xr10:uidLastSave="{00000000-0000-0000-0000-000000000000}"/>
  <bookViews>
    <workbookView xWindow="14295" yWindow="0" windowWidth="14610" windowHeight="15585" xr2:uid="{813C5046-60F0-40FF-AAC7-48B46C31F73B}"/>
  </bookViews>
  <sheets>
    <sheet name="CPU" sheetId="1" r:id="rId1"/>
  </sheets>
  <definedNames>
    <definedName name="_xlnm._FilterDatabase" localSheetId="0" hidden="1">CPU!$C$17:$G$17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0" i="1" l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18" i="1"/>
  <c r="B19" i="1" l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</calcChain>
</file>

<file path=xl/sharedStrings.xml><?xml version="1.0" encoding="utf-8"?>
<sst xmlns="http://schemas.openxmlformats.org/spreadsheetml/2006/main" count="779" uniqueCount="337">
  <si>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</si>
  <si>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</si>
  <si>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</si>
  <si>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</si>
  <si>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</si>
  <si>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</si>
  <si>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</si>
  <si>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</si>
  <si>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</si>
  <si>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</si>
  <si>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</si>
  <si>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</si>
  <si>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</si>
  <si>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</si>
  <si>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</si>
  <si>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</si>
  <si>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</si>
  <si>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</si>
  <si>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</si>
  <si>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</si>
  <si>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</si>
  <si>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</si>
  <si>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</si>
  <si>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</si>
  <si>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</si>
  <si>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</si>
  <si>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</si>
  <si>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</si>
  <si>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</si>
  <si>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</si>
  <si>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</si>
  <si>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</si>
  <si>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</si>
  <si>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</si>
  <si>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</si>
  <si>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</si>
  <si>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</si>
  <si>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</si>
  <si>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</si>
  <si>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</si>
  <si>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</si>
  <si>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</si>
  <si>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</si>
  <si>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</si>
  <si>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</si>
  <si>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</si>
  <si>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</si>
  <si>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</si>
  <si>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</si>
  <si>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</si>
  <si>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</si>
  <si>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</si>
  <si>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</si>
  <si>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</si>
  <si>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</si>
  <si>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</si>
  <si>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</si>
  <si>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</si>
  <si>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</si>
  <si>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</si>
  <si>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rs Register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</si>
  <si>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</si>
  <si>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</si>
  <si>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</si>
  <si>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u_registers
u_regdst_mux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</si>
  <si>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</si>
  <si>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</si>
  <si>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</si>
  <si>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</si>
  <si>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</si>
  <si>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</si>
  <si>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</si>
  <si>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</si>
  <si>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</si>
  <si>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</si>
  <si>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</si>
  <si>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r>
      <t xml:space="preserve">u_addr_4_addr
</t>
    </r>
    <r>
      <rPr>
        <b/>
        <sz val="11"/>
        <color theme="1"/>
        <rFont val="맑은 고딕"/>
        <family val="3"/>
        <charset val="129"/>
        <scheme val="minor"/>
      </rPr>
      <t>o_i_mem_addr</t>
    </r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</si>
  <si>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</si>
  <si>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</si>
  <si>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</si>
  <si>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</si>
  <si>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rt or rd Register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</si>
  <si>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</si>
  <si>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</si>
  <si>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</si>
  <si>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</si>
  <si>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</si>
  <si>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</si>
  <si>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</si>
  <si>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</si>
  <si>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</si>
  <si>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</si>
  <si>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</si>
  <si>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</si>
  <si>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</si>
  <si>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</si>
  <si>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</si>
  <si>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</si>
  <si>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</si>
  <si>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</si>
  <si>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</si>
  <si>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</si>
  <si>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</si>
  <si>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</si>
  <si>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</si>
  <si>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</si>
  <si>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</si>
  <si>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</si>
  <si>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</si>
  <si>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</si>
  <si>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</si>
  <si>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</si>
  <si>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</si>
  <si>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</si>
  <si>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</si>
  <si>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</si>
  <si>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</si>
  <si>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</si>
  <si>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</si>
  <si>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</si>
  <si>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</si>
  <si>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</si>
  <si>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</si>
  <si>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</si>
  <si>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</si>
  <si>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</si>
  <si>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</si>
  <si>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</si>
  <si>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</si>
  <si>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</si>
  <si>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</si>
  <si>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</si>
  <si>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</si>
  <si>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</si>
  <si>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</si>
  <si>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</si>
  <si>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</si>
  <si>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</si>
  <si>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</si>
  <si>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</si>
  <si>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</si>
  <si>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</si>
  <si>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</si>
  <si>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</si>
  <si>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</si>
  <si>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</si>
  <si>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</si>
  <si>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</si>
  <si>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</si>
  <si>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</si>
  <si>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</si>
  <si>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</si>
  <si>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</si>
  <si>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</si>
  <si>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</si>
  <si>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</si>
  <si>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</si>
  <si>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</si>
  <si>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</si>
  <si>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</si>
  <si>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</si>
  <si>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</si>
  <si>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</si>
  <si>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</si>
  <si>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</si>
  <si>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</si>
  <si>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</si>
  <si>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</si>
  <si>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</si>
  <si>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</si>
  <si>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</si>
  <si>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</si>
  <si>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</si>
  <si>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</si>
  <si>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</si>
  <si>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</si>
  <si>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</si>
  <si>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</si>
  <si>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</si>
  <si>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</si>
  <si>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</si>
  <si>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</si>
  <si>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</si>
  <si>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</si>
  <si>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</si>
  <si>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</si>
  <si>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</si>
  <si>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</si>
  <si>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</si>
  <si>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</si>
  <si>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</si>
  <si>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</si>
  <si>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</si>
  <si>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</si>
  <si>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</si>
  <si>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</si>
  <si>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</si>
  <si>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</si>
  <si>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(ID)</t>
    <phoneticPr fontId="1" type="noConversion"/>
  </si>
  <si>
    <t>w_ex_add4_addr</t>
    <phoneticPr fontId="1" type="noConversion"/>
  </si>
  <si>
    <t>w_id_add4_addr</t>
    <phoneticPr fontId="1" type="noConversion"/>
  </si>
  <si>
    <t>PC ADDR + 4 (EX)</t>
    <phoneticPr fontId="1" type="noConversion"/>
  </si>
  <si>
    <t>w_id_aluop</t>
    <phoneticPr fontId="1" type="noConversion"/>
  </si>
  <si>
    <t>w_id_ctr_regdst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</si>
  <si>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</si>
  <si>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</si>
  <si>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</si>
  <si>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</si>
  <si>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</si>
  <si>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</si>
  <si>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w_id_ctr_jump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</si>
  <si>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</si>
  <si>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</si>
  <si>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</si>
  <si>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</si>
  <si>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</si>
  <si>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</si>
  <si>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</si>
  <si>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</si>
  <si>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</si>
  <si>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</si>
  <si>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</si>
  <si>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</si>
  <si>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</si>
  <si>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</si>
  <si>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</si>
  <si>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</si>
  <si>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</si>
  <si>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</si>
  <si>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</si>
  <si>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</si>
  <si>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</si>
  <si>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</si>
  <si>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</si>
  <si>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</si>
  <si>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</si>
  <si>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</si>
  <si>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</si>
  <si>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</si>
  <si>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</si>
  <si>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</si>
  <si>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</si>
  <si>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</si>
  <si>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</si>
  <si>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</si>
  <si>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</si>
  <si>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</si>
  <si>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</si>
  <si>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</si>
  <si>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</si>
  <si>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</si>
  <si>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</si>
  <si>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</si>
  <si>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</si>
  <si>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</si>
  <si>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</si>
  <si>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</si>
  <si>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</si>
  <si>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</si>
  <si>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</si>
  <si>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</si>
  <si>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</si>
  <si>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u_id_ex_bridge
w_id_jump_addr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</si>
  <si>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</si>
  <si>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</si>
  <si>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</si>
  <si>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</si>
  <si>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</si>
  <si>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u_alusrc_mux
u_ex_mem_bridge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</si>
  <si>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</si>
  <si>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</si>
  <si>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</si>
  <si>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</si>
  <si>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</si>
  <si>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</si>
  <si>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</si>
  <si>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</si>
  <si>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</si>
  <si>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</si>
  <si>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</si>
  <si>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</si>
  <si>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</si>
  <si>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r>
      <t xml:space="preserve">u_mem_wb_bridge
</t>
    </r>
    <r>
      <rPr>
        <b/>
        <sz val="11"/>
        <color theme="1"/>
        <rFont val="맑은 고딕"/>
        <family val="3"/>
        <charset val="129"/>
        <scheme val="minor"/>
      </rPr>
      <t>o_d_mem_addr</t>
    </r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</si>
  <si>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</si>
  <si>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</si>
  <si>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</si>
  <si>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</si>
  <si>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w_if_i_mem_addr</t>
    <phoneticPr fontId="1" type="noConversion"/>
  </si>
  <si>
    <t>w_if_i_mem_en</t>
    <phoneticPr fontId="1" type="noConversion"/>
  </si>
  <si>
    <t>w_id_shift_left2_dec_jaddr</t>
  </si>
  <si>
    <t>w_id_add4_addr
w_id_shift_left2_dec_jaddr</t>
    <phoneticPr fontId="1" type="noConversion"/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</si>
  <si>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</si>
  <si>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</si>
  <si>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</si>
  <si>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</si>
  <si>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</si>
  <si>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</si>
  <si>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</si>
  <si>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</si>
  <si>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</si>
  <si>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</si>
  <si>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w_id_regdst_mux_reg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</si>
  <si>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</si>
  <si>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</si>
  <si>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</si>
  <si>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</si>
  <si>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</si>
  <si>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</si>
  <si>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</si>
  <si>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</si>
  <si>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</si>
  <si>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</si>
  <si>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</si>
  <si>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w_mem_regwrite</t>
    <phoneticPr fontId="1" type="noConversion"/>
  </si>
  <si>
    <t>w_wb_regwrite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</si>
  <si>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</si>
  <si>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</si>
  <si>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</si>
  <si>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</si>
  <si>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</si>
  <si>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</si>
  <si>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</si>
  <si>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</si>
  <si>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w_mem_dec_rd</t>
    <phoneticPr fontId="1" type="noConversion"/>
  </si>
  <si>
    <t>w_wb_dec_rt</t>
    <phoneticPr fontId="1" type="noConversion"/>
  </si>
  <si>
    <t>w_wb_dec_rd</t>
    <phoneticPr fontId="1" type="noConversion"/>
  </si>
  <si>
    <t>Decoded rd Register (EX)</t>
    <phoneticPr fontId="1" type="noConversion"/>
  </si>
  <si>
    <t>Decoded rt Register (MEM)</t>
    <phoneticPr fontId="1" type="noConversion"/>
  </si>
  <si>
    <t>Decoded rd Register (MEM)</t>
    <phoneticPr fontId="1" type="noConversion"/>
  </si>
  <si>
    <t>Decoded rt Register (WB)</t>
    <phoneticPr fontId="1" type="noConversion"/>
  </si>
  <si>
    <t>Decoded rd Register (WB)</t>
    <phoneticPr fontId="1" type="noConversion"/>
  </si>
  <si>
    <t>w_ex_ctr_regdst</t>
    <phoneticPr fontId="1" type="noConversion"/>
  </si>
  <si>
    <t>w_mem_ctr_regdst</t>
    <phoneticPr fontId="1" type="noConversion"/>
  </si>
  <si>
    <t>w_wb_ctr_regdst</t>
    <phoneticPr fontId="1" type="noConversion"/>
  </si>
  <si>
    <t>RegDst Flag (EX)</t>
    <phoneticPr fontId="1" type="noConversion"/>
  </si>
  <si>
    <t>RegDst Flag (MEM)</t>
    <phoneticPr fontId="1" type="noConversion"/>
  </si>
  <si>
    <t>RegDst Flag (WB)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</si>
</sst>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 wrapText="1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3" fontId="0" fillId="5" borderId="0" xfId="0" applyNumberFormat="1" applyFill="1" applyAlignment="1">
      <alignment horizontal="left" vertical="center"/>
    </xf>
    <xf numFmtId="3" fontId="2" fillId="5" borderId="0" xfId="0" applyNumberFormat="1" applyFon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3" fontId="3" fillId="0" borderId="0" xfId="0" applyNumberFormat="1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topLeftCell="A67" zoomScale="85" zoomScaleNormal="85" workbookViewId="0">
      <selection activeCell="E78" sqref="E78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34" t="s">
        <v>0</v>
      </c>
      <c r="C2" s="135"/>
      <c r="D2" s="135"/>
      <c r="E2" s="135"/>
      <c r="F2" s="135"/>
      <c r="G2" s="136"/>
      <c r="I2" s="120" t="s">
        <v>106</v>
      </c>
      <c r="J2" s="122"/>
      <c r="K2" s="120" t="s">
        <v>100</v>
      </c>
      <c r="L2" s="121"/>
      <c r="M2" s="122"/>
      <c r="O2" s="120" t="s">
        <v>106</v>
      </c>
      <c r="P2" s="122"/>
      <c r="Q2" s="120" t="s">
        <v>153</v>
      </c>
      <c r="R2" s="121"/>
      <c r="S2" s="122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29" t="s">
        <v>112</v>
      </c>
      <c r="J3" s="130"/>
      <c r="K3" s="131" t="s">
        <v>113</v>
      </c>
      <c r="L3" s="132"/>
      <c r="M3" s="133"/>
      <c r="O3" s="129" t="s">
        <v>112</v>
      </c>
      <c r="P3" s="130"/>
      <c r="Q3" s="131" t="s">
        <v>241</v>
      </c>
      <c r="R3" s="132"/>
      <c r="S3" s="133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29" t="s">
        <v>110</v>
      </c>
      <c r="J4" s="130"/>
      <c r="K4" s="129" t="s">
        <v>66</v>
      </c>
      <c r="L4" s="143"/>
      <c r="M4" s="130"/>
      <c r="O4" s="129" t="s">
        <v>110</v>
      </c>
      <c r="P4" s="130"/>
      <c r="Q4" s="129" t="s">
        <v>66</v>
      </c>
      <c r="R4" s="143"/>
      <c r="S4" s="130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23" t="s">
        <v>8</v>
      </c>
      <c r="J5" s="124"/>
      <c r="K5" s="125" t="s">
        <v>105</v>
      </c>
      <c r="L5" s="126"/>
      <c r="M5" s="127"/>
      <c r="O5" s="123" t="s">
        <v>8</v>
      </c>
      <c r="P5" s="124"/>
      <c r="Q5" s="125" t="s">
        <v>154</v>
      </c>
      <c r="R5" s="126"/>
      <c r="S5" s="127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28" t="s">
        <v>101</v>
      </c>
      <c r="K6" s="128"/>
      <c r="L6" s="128"/>
      <c r="M6" s="69" t="s">
        <v>8</v>
      </c>
      <c r="O6" s="67" t="s">
        <v>41</v>
      </c>
      <c r="P6" s="128" t="s">
        <v>101</v>
      </c>
      <c r="Q6" s="128"/>
      <c r="R6" s="128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37" t="s">
        <v>21</v>
      </c>
      <c r="K7" s="137"/>
      <c r="L7" s="137"/>
      <c r="M7" s="71" t="s">
        <v>136</v>
      </c>
      <c r="O7" s="87">
        <v>1</v>
      </c>
      <c r="P7" s="144" t="s">
        <v>21</v>
      </c>
      <c r="Q7" s="144"/>
      <c r="R7" s="144"/>
      <c r="S7" s="88" t="s">
        <v>136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94</v>
      </c>
      <c r="K8" s="68" t="s">
        <v>1</v>
      </c>
      <c r="L8" s="68" t="s">
        <v>4</v>
      </c>
      <c r="M8" s="69" t="s">
        <v>8</v>
      </c>
      <c r="O8" s="80">
        <v>2</v>
      </c>
      <c r="P8" s="126" t="s">
        <v>20</v>
      </c>
      <c r="Q8" s="126"/>
      <c r="R8" s="126"/>
      <c r="S8" s="82" t="s">
        <v>137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95</v>
      </c>
      <c r="K9" s="73" t="s">
        <v>97</v>
      </c>
      <c r="L9" s="74" t="s">
        <v>21</v>
      </c>
      <c r="M9" s="75" t="s">
        <v>102</v>
      </c>
      <c r="O9" s="67" t="s">
        <v>41</v>
      </c>
      <c r="P9" s="68" t="s">
        <v>94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95</v>
      </c>
      <c r="K10" s="77" t="s">
        <v>98</v>
      </c>
      <c r="L10" s="78" t="s">
        <v>21</v>
      </c>
      <c r="M10" s="79" t="s">
        <v>103</v>
      </c>
      <c r="O10" s="72">
        <v>1</v>
      </c>
      <c r="P10" s="73" t="s">
        <v>95</v>
      </c>
      <c r="Q10" s="73" t="s">
        <v>5</v>
      </c>
      <c r="R10" s="73">
        <v>1</v>
      </c>
      <c r="S10" s="75" t="s">
        <v>158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96</v>
      </c>
      <c r="K11" s="66" t="s">
        <v>99</v>
      </c>
      <c r="L11" s="81" t="s">
        <v>21</v>
      </c>
      <c r="M11" s="82" t="s">
        <v>104</v>
      </c>
      <c r="O11" s="72">
        <v>2</v>
      </c>
      <c r="P11" s="73" t="s">
        <v>95</v>
      </c>
      <c r="Q11" s="73" t="s">
        <v>6</v>
      </c>
      <c r="R11" s="73">
        <v>1</v>
      </c>
      <c r="S11" s="75" t="s">
        <v>159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38" t="s">
        <v>108</v>
      </c>
      <c r="J12" s="139"/>
      <c r="K12" s="140" t="s">
        <v>109</v>
      </c>
      <c r="L12" s="141"/>
      <c r="M12" s="142"/>
      <c r="O12" s="72">
        <v>3</v>
      </c>
      <c r="P12" s="73" t="s">
        <v>95</v>
      </c>
      <c r="Q12" s="73" t="s">
        <v>155</v>
      </c>
      <c r="R12" s="74" t="s">
        <v>21</v>
      </c>
      <c r="S12" s="75" t="s">
        <v>160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95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96</v>
      </c>
      <c r="Q14" s="73" t="s">
        <v>156</v>
      </c>
      <c r="R14" s="74" t="s">
        <v>21</v>
      </c>
      <c r="S14" s="79" t="s">
        <v>161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96</v>
      </c>
      <c r="Q15" s="73" t="s">
        <v>157</v>
      </c>
      <c r="R15" s="74" t="s">
        <v>20</v>
      </c>
      <c r="S15" s="82" t="s">
        <v>162</v>
      </c>
    </row>
    <row r="16" spans="2:19" ht="17.25" thickBot="1" x14ac:dyDescent="0.35">
      <c r="O16" s="138" t="s">
        <v>108</v>
      </c>
      <c r="P16" s="139"/>
      <c r="Q16" s="140" t="s">
        <v>244</v>
      </c>
      <c r="R16" s="141"/>
      <c r="S16" s="142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ht="33" x14ac:dyDescent="0.3">
      <c r="B18" s="145">
        <f>IF(C18="","",1)</f>
        <v>1</v>
      </c>
      <c r="C18" s="3" t="s">
        <v>199</v>
      </c>
      <c r="D18" s="90" t="s">
        <v>21</v>
      </c>
      <c r="E18" s="2" t="s">
        <v>242</v>
      </c>
      <c r="F18" s="103" t="s">
        <v>263</v>
      </c>
      <c r="G18" s="99" t="s">
        <v>201</v>
      </c>
      <c r="I18" s="120" t="s">
        <v>106</v>
      </c>
      <c r="J18" s="122"/>
      <c r="K18" s="120" t="s">
        <v>107</v>
      </c>
      <c r="L18" s="121"/>
      <c r="M18" s="122"/>
      <c r="O18" s="120" t="s">
        <v>106</v>
      </c>
      <c r="P18" s="122"/>
      <c r="Q18" s="120" t="s">
        <v>163</v>
      </c>
      <c r="R18" s="121"/>
      <c r="S18" s="122"/>
    </row>
    <row r="19" spans="2:19" x14ac:dyDescent="0.3">
      <c r="B19" s="145">
        <f t="shared" ref="B19:B50" si="0">IF(C19="","",B18+1)</f>
        <v>2</v>
      </c>
      <c r="C19" s="3" t="s">
        <v>305</v>
      </c>
      <c r="D19" s="1">
        <v>1</v>
      </c>
      <c r="E19" s="1" t="s">
        <v>82</v>
      </c>
      <c r="F19" s="2" t="s">
        <v>66</v>
      </c>
      <c r="G19" s="5" t="s">
        <v>87</v>
      </c>
      <c r="I19" s="129" t="s">
        <v>112</v>
      </c>
      <c r="J19" s="130"/>
      <c r="K19" s="131" t="s">
        <v>114</v>
      </c>
      <c r="L19" s="132"/>
      <c r="M19" s="133"/>
      <c r="O19" s="129" t="s">
        <v>112</v>
      </c>
      <c r="P19" s="130"/>
      <c r="Q19" s="131" t="s">
        <v>241</v>
      </c>
      <c r="R19" s="132"/>
      <c r="S19" s="133"/>
    </row>
    <row r="20" spans="2:19" ht="33" x14ac:dyDescent="0.3">
      <c r="B20" s="145">
        <f t="shared" si="0"/>
        <v>3</v>
      </c>
      <c r="C20" s="3" t="s">
        <v>300</v>
      </c>
      <c r="D20" s="1">
        <v>4</v>
      </c>
      <c r="E20" s="1" t="s">
        <v>77</v>
      </c>
      <c r="F20" s="103" t="s">
        <v>78</v>
      </c>
      <c r="G20" s="5" t="s">
        <v>79</v>
      </c>
      <c r="I20" s="129" t="s">
        <v>110</v>
      </c>
      <c r="J20" s="130"/>
      <c r="K20" s="131" t="s">
        <v>111</v>
      </c>
      <c r="L20" s="132"/>
      <c r="M20" s="133"/>
      <c r="O20" s="129" t="s">
        <v>110</v>
      </c>
      <c r="P20" s="130"/>
      <c r="Q20" s="129" t="s">
        <v>66</v>
      </c>
      <c r="R20" s="143"/>
      <c r="S20" s="130"/>
    </row>
    <row r="21" spans="2:19" ht="17.25" thickBot="1" x14ac:dyDescent="0.35">
      <c r="B21" s="145">
        <f t="shared" si="0"/>
        <v>4</v>
      </c>
      <c r="C21" s="3" t="s">
        <v>265</v>
      </c>
      <c r="D21" s="90" t="s">
        <v>20</v>
      </c>
      <c r="E21" s="1" t="s">
        <v>82</v>
      </c>
      <c r="F21" s="103" t="s">
        <v>246</v>
      </c>
      <c r="G21" s="5" t="s">
        <v>266</v>
      </c>
      <c r="I21" s="123" t="s">
        <v>8</v>
      </c>
      <c r="J21" s="124"/>
      <c r="K21" s="125" t="s">
        <v>128</v>
      </c>
      <c r="L21" s="126"/>
      <c r="M21" s="127"/>
      <c r="O21" s="123" t="s">
        <v>8</v>
      </c>
      <c r="P21" s="124"/>
      <c r="Q21" s="125" t="s">
        <v>164</v>
      </c>
      <c r="R21" s="126"/>
      <c r="S21" s="127"/>
    </row>
    <row r="22" spans="2:19" ht="17.25" thickBot="1" x14ac:dyDescent="0.35">
      <c r="B22" s="145">
        <f t="shared" si="0"/>
        <v>5</v>
      </c>
      <c r="C22" s="3" t="s">
        <v>306</v>
      </c>
      <c r="D22" s="1">
        <v>1</v>
      </c>
      <c r="E22" s="1" t="s">
        <v>82</v>
      </c>
      <c r="F22" s="2" t="s">
        <v>311</v>
      </c>
      <c r="G22" s="5" t="s">
        <v>88</v>
      </c>
      <c r="I22" s="67" t="s">
        <v>41</v>
      </c>
      <c r="J22" s="128" t="s">
        <v>101</v>
      </c>
      <c r="K22" s="128"/>
      <c r="L22" s="128"/>
      <c r="M22" s="69" t="s">
        <v>8</v>
      </c>
      <c r="O22" s="67" t="s">
        <v>41</v>
      </c>
      <c r="P22" s="128" t="s">
        <v>101</v>
      </c>
      <c r="Q22" s="128"/>
      <c r="R22" s="128"/>
      <c r="S22" s="69" t="s">
        <v>8</v>
      </c>
    </row>
    <row r="23" spans="2:19" ht="17.25" thickBot="1" x14ac:dyDescent="0.35">
      <c r="B23" s="145">
        <f t="shared" si="0"/>
        <v>6</v>
      </c>
      <c r="C23" s="3" t="s">
        <v>252</v>
      </c>
      <c r="D23" s="1">
        <v>3</v>
      </c>
      <c r="E23" s="1" t="s">
        <v>245</v>
      </c>
      <c r="F23" s="2" t="s">
        <v>67</v>
      </c>
      <c r="G23" s="5" t="s">
        <v>253</v>
      </c>
      <c r="I23" s="70">
        <v>1</v>
      </c>
      <c r="J23" s="137" t="s">
        <v>20</v>
      </c>
      <c r="K23" s="137"/>
      <c r="L23" s="137"/>
      <c r="M23" s="71" t="s">
        <v>137</v>
      </c>
      <c r="O23" s="87">
        <v>1</v>
      </c>
      <c r="P23" s="144" t="s">
        <v>21</v>
      </c>
      <c r="Q23" s="144"/>
      <c r="R23" s="144"/>
      <c r="S23" s="88" t="s">
        <v>136</v>
      </c>
    </row>
    <row r="24" spans="2:19" ht="33.75" thickBot="1" x14ac:dyDescent="0.35">
      <c r="B24" s="145">
        <f t="shared" si="0"/>
        <v>7</v>
      </c>
      <c r="C24" s="3" t="s">
        <v>304</v>
      </c>
      <c r="D24" s="90" t="s">
        <v>20</v>
      </c>
      <c r="E24" s="1" t="s">
        <v>83</v>
      </c>
      <c r="F24" s="103" t="s">
        <v>78</v>
      </c>
      <c r="G24" s="5" t="s">
        <v>85</v>
      </c>
      <c r="I24" s="67" t="s">
        <v>41</v>
      </c>
      <c r="J24" s="68" t="s">
        <v>94</v>
      </c>
      <c r="K24" s="68" t="s">
        <v>1</v>
      </c>
      <c r="L24" s="68" t="s">
        <v>4</v>
      </c>
      <c r="M24" s="69" t="s">
        <v>8</v>
      </c>
      <c r="O24" s="80">
        <v>2</v>
      </c>
      <c r="P24" s="126" t="s">
        <v>20</v>
      </c>
      <c r="Q24" s="126"/>
      <c r="R24" s="126"/>
      <c r="S24" s="82" t="s">
        <v>137</v>
      </c>
    </row>
    <row r="25" spans="2:19" ht="17.25" thickBot="1" x14ac:dyDescent="0.35">
      <c r="B25" s="145">
        <f t="shared" si="0"/>
        <v>8</v>
      </c>
      <c r="C25" s="3" t="s">
        <v>271</v>
      </c>
      <c r="D25" s="1">
        <v>1</v>
      </c>
      <c r="E25" s="2" t="s">
        <v>245</v>
      </c>
      <c r="F25" s="2" t="s">
        <v>311</v>
      </c>
      <c r="G25" s="5" t="s">
        <v>272</v>
      </c>
      <c r="I25" s="72">
        <v>1</v>
      </c>
      <c r="J25" s="73" t="s">
        <v>95</v>
      </c>
      <c r="K25" s="73" t="s">
        <v>115</v>
      </c>
      <c r="L25" s="74" t="s">
        <v>20</v>
      </c>
      <c r="M25" s="75" t="s">
        <v>122</v>
      </c>
      <c r="O25" s="67" t="s">
        <v>41</v>
      </c>
      <c r="P25" s="68" t="s">
        <v>94</v>
      </c>
      <c r="Q25" s="68" t="s">
        <v>1</v>
      </c>
      <c r="R25" s="68" t="s">
        <v>4</v>
      </c>
      <c r="S25" s="69" t="s">
        <v>8</v>
      </c>
    </row>
    <row r="26" spans="2:19" x14ac:dyDescent="0.3">
      <c r="B26" s="145">
        <f t="shared" si="0"/>
        <v>9</v>
      </c>
      <c r="C26" s="3" t="s">
        <v>293</v>
      </c>
      <c r="D26" s="90" t="s">
        <v>20</v>
      </c>
      <c r="E26" s="1" t="s">
        <v>40</v>
      </c>
      <c r="F26" s="2" t="s">
        <v>53</v>
      </c>
      <c r="G26" s="5" t="s">
        <v>240</v>
      </c>
      <c r="I26" s="76">
        <v>2</v>
      </c>
      <c r="J26" s="77" t="s">
        <v>95</v>
      </c>
      <c r="K26" s="77" t="s">
        <v>116</v>
      </c>
      <c r="L26" s="78" t="s">
        <v>20</v>
      </c>
      <c r="M26" s="79" t="s">
        <v>123</v>
      </c>
      <c r="O26" s="72">
        <v>1</v>
      </c>
      <c r="P26" s="73" t="s">
        <v>95</v>
      </c>
      <c r="Q26" s="73" t="s">
        <v>5</v>
      </c>
      <c r="R26" s="73">
        <v>1</v>
      </c>
      <c r="S26" s="75" t="s">
        <v>158</v>
      </c>
    </row>
    <row r="27" spans="2:19" x14ac:dyDescent="0.3">
      <c r="B27" s="145">
        <f t="shared" si="0"/>
        <v>10</v>
      </c>
      <c r="C27" s="3" t="s">
        <v>309</v>
      </c>
      <c r="D27" s="90" t="s">
        <v>21</v>
      </c>
      <c r="E27" s="1" t="s">
        <v>53</v>
      </c>
      <c r="F27" s="2" t="s">
        <v>36</v>
      </c>
      <c r="G27" s="5" t="s">
        <v>92</v>
      </c>
      <c r="I27" s="83">
        <v>3</v>
      </c>
      <c r="J27" s="77" t="s">
        <v>95</v>
      </c>
      <c r="K27" s="84" t="s">
        <v>117</v>
      </c>
      <c r="L27" s="84">
        <v>1</v>
      </c>
      <c r="M27" s="85" t="s">
        <v>124</v>
      </c>
      <c r="O27" s="72">
        <v>2</v>
      </c>
      <c r="P27" s="73" t="s">
        <v>95</v>
      </c>
      <c r="Q27" s="73" t="s">
        <v>6</v>
      </c>
      <c r="R27" s="73">
        <v>1</v>
      </c>
      <c r="S27" s="75" t="s">
        <v>159</v>
      </c>
    </row>
    <row r="28" spans="2:19" x14ac:dyDescent="0.3">
      <c r="B28" s="145">
        <f t="shared" si="0"/>
        <v>11</v>
      </c>
      <c r="C28" s="3" t="s">
        <v>234</v>
      </c>
      <c r="D28" s="1">
        <v>1</v>
      </c>
      <c r="E28" s="1" t="s">
        <v>242</v>
      </c>
      <c r="F28" s="2" t="s">
        <v>83</v>
      </c>
      <c r="G28" s="5" t="s">
        <v>235</v>
      </c>
      <c r="I28" s="83">
        <v>4</v>
      </c>
      <c r="J28" s="84" t="s">
        <v>95</v>
      </c>
      <c r="K28" s="84" t="s">
        <v>118</v>
      </c>
      <c r="L28" s="84">
        <v>4</v>
      </c>
      <c r="M28" s="85" t="s">
        <v>79</v>
      </c>
      <c r="O28" s="83">
        <v>3</v>
      </c>
      <c r="P28" s="73" t="s">
        <v>95</v>
      </c>
      <c r="Q28" s="73" t="s">
        <v>155</v>
      </c>
      <c r="R28" s="74" t="s">
        <v>21</v>
      </c>
      <c r="S28" s="75" t="s">
        <v>165</v>
      </c>
    </row>
    <row r="29" spans="2:19" ht="33" x14ac:dyDescent="0.3">
      <c r="B29" s="145">
        <f t="shared" si="0"/>
        <v>12</v>
      </c>
      <c r="C29" s="3" t="s">
        <v>311</v>
      </c>
      <c r="D29" s="1">
        <v>1</v>
      </c>
      <c r="E29" s="102" t="s">
        <v>310</v>
      </c>
      <c r="F29" s="2" t="s">
        <v>53</v>
      </c>
      <c r="G29" s="5" t="s">
        <v>93</v>
      </c>
      <c r="I29" s="83">
        <v>5</v>
      </c>
      <c r="J29" s="84" t="s">
        <v>96</v>
      </c>
      <c r="K29" s="84" t="s">
        <v>119</v>
      </c>
      <c r="L29" s="86" t="s">
        <v>20</v>
      </c>
      <c r="M29" s="85" t="s">
        <v>86</v>
      </c>
      <c r="O29" s="83">
        <v>4</v>
      </c>
      <c r="P29" s="77" t="s">
        <v>95</v>
      </c>
      <c r="Q29" s="84" t="s">
        <v>166</v>
      </c>
      <c r="R29" s="86" t="s">
        <v>20</v>
      </c>
      <c r="S29" s="85" t="s">
        <v>172</v>
      </c>
    </row>
    <row r="30" spans="2:19" x14ac:dyDescent="0.3">
      <c r="B30" s="145">
        <f t="shared" si="0"/>
        <v>13</v>
      </c>
      <c r="C30" s="3" t="s">
        <v>273</v>
      </c>
      <c r="D30" s="1">
        <v>1</v>
      </c>
      <c r="E30" s="2" t="s">
        <v>245</v>
      </c>
      <c r="F30" s="2" t="s">
        <v>36</v>
      </c>
      <c r="G30" s="5" t="s">
        <v>274</v>
      </c>
      <c r="I30" s="83">
        <v>6</v>
      </c>
      <c r="J30" s="84" t="s">
        <v>96</v>
      </c>
      <c r="K30" s="84" t="s">
        <v>120</v>
      </c>
      <c r="L30" s="84">
        <v>1</v>
      </c>
      <c r="M30" s="85" t="s">
        <v>125</v>
      </c>
      <c r="O30" s="83">
        <v>5</v>
      </c>
      <c r="P30" s="77" t="s">
        <v>95</v>
      </c>
      <c r="Q30" s="84" t="s">
        <v>167</v>
      </c>
      <c r="R30" s="86" t="s">
        <v>20</v>
      </c>
      <c r="S30" s="85" t="s">
        <v>172</v>
      </c>
    </row>
    <row r="31" spans="2:19" ht="17.25" thickBot="1" x14ac:dyDescent="0.35">
      <c r="B31" s="145">
        <f t="shared" si="0"/>
        <v>14</v>
      </c>
      <c r="C31" s="3" t="s">
        <v>331</v>
      </c>
      <c r="D31" s="1">
        <v>1</v>
      </c>
      <c r="E31" s="1" t="s">
        <v>245</v>
      </c>
      <c r="F31" s="103" t="s">
        <v>246</v>
      </c>
      <c r="G31" s="5" t="s">
        <v>334</v>
      </c>
      <c r="I31" s="80">
        <v>7</v>
      </c>
      <c r="J31" s="66" t="s">
        <v>96</v>
      </c>
      <c r="K31" s="66" t="s">
        <v>121</v>
      </c>
      <c r="L31" s="66">
        <v>1</v>
      </c>
      <c r="M31" s="82" t="s">
        <v>88</v>
      </c>
      <c r="O31" s="83">
        <v>6</v>
      </c>
      <c r="P31" s="77" t="s">
        <v>95</v>
      </c>
      <c r="Q31" s="84" t="s">
        <v>168</v>
      </c>
      <c r="R31" s="86" t="s">
        <v>20</v>
      </c>
      <c r="S31" s="85" t="s">
        <v>173</v>
      </c>
    </row>
    <row r="32" spans="2:19" ht="17.25" thickBot="1" x14ac:dyDescent="0.35">
      <c r="B32" s="145">
        <f t="shared" si="0"/>
        <v>15</v>
      </c>
      <c r="C32" s="3" t="s">
        <v>250</v>
      </c>
      <c r="D32" s="1">
        <v>6</v>
      </c>
      <c r="E32" s="1" t="s">
        <v>242</v>
      </c>
      <c r="F32" s="2" t="s">
        <v>67</v>
      </c>
      <c r="G32" s="5" t="s">
        <v>251</v>
      </c>
      <c r="I32" s="138" t="s">
        <v>108</v>
      </c>
      <c r="J32" s="139"/>
      <c r="K32" s="140" t="s">
        <v>82</v>
      </c>
      <c r="L32" s="141"/>
      <c r="M32" s="142"/>
      <c r="O32" s="83">
        <v>7</v>
      </c>
      <c r="P32" s="77" t="s">
        <v>96</v>
      </c>
      <c r="Q32" s="77" t="s">
        <v>156</v>
      </c>
      <c r="R32" s="78" t="s">
        <v>21</v>
      </c>
      <c r="S32" s="79" t="s">
        <v>171</v>
      </c>
    </row>
    <row r="33" spans="2:19" x14ac:dyDescent="0.3">
      <c r="B33" s="145">
        <f t="shared" si="0"/>
        <v>16</v>
      </c>
      <c r="C33" s="3" t="s">
        <v>321</v>
      </c>
      <c r="D33" s="90" t="s">
        <v>56</v>
      </c>
      <c r="E33" s="1" t="s">
        <v>245</v>
      </c>
      <c r="F33" s="103" t="s">
        <v>246</v>
      </c>
      <c r="G33" s="5" t="s">
        <v>326</v>
      </c>
      <c r="O33" s="83">
        <v>8</v>
      </c>
      <c r="P33" s="84" t="s">
        <v>96</v>
      </c>
      <c r="Q33" s="84" t="s">
        <v>169</v>
      </c>
      <c r="R33" s="86" t="s">
        <v>20</v>
      </c>
      <c r="S33" s="85" t="s">
        <v>174</v>
      </c>
    </row>
    <row r="34" spans="2:19" x14ac:dyDescent="0.3">
      <c r="B34" s="145">
        <f t="shared" si="0"/>
        <v>17</v>
      </c>
      <c r="C34" s="3" t="s">
        <v>320</v>
      </c>
      <c r="D34" s="90" t="s">
        <v>56</v>
      </c>
      <c r="E34" s="1" t="s">
        <v>245</v>
      </c>
      <c r="F34" s="103" t="s">
        <v>246</v>
      </c>
      <c r="G34" s="5" t="s">
        <v>319</v>
      </c>
      <c r="O34" s="83">
        <v>9</v>
      </c>
      <c r="P34" s="84" t="s">
        <v>96</v>
      </c>
      <c r="Q34" s="84" t="s">
        <v>170</v>
      </c>
      <c r="R34" s="86" t="s">
        <v>20</v>
      </c>
      <c r="S34" s="85" t="s">
        <v>175</v>
      </c>
    </row>
    <row r="35" spans="2:19" ht="17.25" thickBot="1" x14ac:dyDescent="0.35">
      <c r="B35" s="145">
        <f t="shared" si="0"/>
        <v>18</v>
      </c>
      <c r="C35" s="3" t="s">
        <v>307</v>
      </c>
      <c r="D35" s="90" t="s">
        <v>20</v>
      </c>
      <c r="E35" s="1" t="s">
        <v>89</v>
      </c>
      <c r="F35" s="2" t="s">
        <v>66</v>
      </c>
      <c r="G35" s="5" t="s">
        <v>90</v>
      </c>
      <c r="O35" s="80">
        <v>10</v>
      </c>
      <c r="P35" s="66" t="s">
        <v>96</v>
      </c>
      <c r="Q35" s="66" t="s">
        <v>148</v>
      </c>
      <c r="R35" s="81" t="s">
        <v>20</v>
      </c>
      <c r="S35" s="82" t="s">
        <v>176</v>
      </c>
    </row>
    <row r="36" spans="2:19" ht="17.25" thickBot="1" x14ac:dyDescent="0.35">
      <c r="B36" s="145">
        <f t="shared" si="0"/>
        <v>19</v>
      </c>
      <c r="C36" s="3" t="s">
        <v>238</v>
      </c>
      <c r="D36" s="101" t="s">
        <v>20</v>
      </c>
      <c r="E36" s="102" t="s">
        <v>242</v>
      </c>
      <c r="F36" s="2" t="s">
        <v>36</v>
      </c>
      <c r="G36" s="5" t="s">
        <v>239</v>
      </c>
      <c r="O36" s="138" t="s">
        <v>108</v>
      </c>
      <c r="P36" s="139"/>
      <c r="Q36" s="140" t="s">
        <v>245</v>
      </c>
      <c r="R36" s="141"/>
      <c r="S36" s="142"/>
    </row>
    <row r="37" spans="2:19" ht="17.25" thickBot="1" x14ac:dyDescent="0.35">
      <c r="B37" s="145">
        <f t="shared" si="0"/>
        <v>20</v>
      </c>
      <c r="C37" s="97" t="s">
        <v>284</v>
      </c>
      <c r="D37" s="90" t="s">
        <v>21</v>
      </c>
      <c r="E37" s="33" t="s">
        <v>36</v>
      </c>
      <c r="F37" s="98" t="s">
        <v>35</v>
      </c>
      <c r="G37" s="99" t="s">
        <v>285</v>
      </c>
    </row>
    <row r="38" spans="2:19" x14ac:dyDescent="0.3">
      <c r="B38" s="145">
        <f t="shared" si="0"/>
        <v>21</v>
      </c>
      <c r="C38" s="3" t="s">
        <v>308</v>
      </c>
      <c r="D38" s="90" t="s">
        <v>20</v>
      </c>
      <c r="E38" s="1" t="s">
        <v>89</v>
      </c>
      <c r="F38" s="2" t="s">
        <v>66</v>
      </c>
      <c r="G38" s="5" t="s">
        <v>91</v>
      </c>
      <c r="I38" s="120" t="s">
        <v>106</v>
      </c>
      <c r="J38" s="122"/>
      <c r="K38" s="120" t="s">
        <v>126</v>
      </c>
      <c r="L38" s="121"/>
      <c r="M38" s="122"/>
      <c r="O38" s="120" t="s">
        <v>106</v>
      </c>
      <c r="P38" s="122"/>
      <c r="Q38" s="120" t="s">
        <v>177</v>
      </c>
      <c r="R38" s="121"/>
      <c r="S38" s="122"/>
    </row>
    <row r="39" spans="2:19" x14ac:dyDescent="0.3">
      <c r="B39" s="145">
        <f t="shared" si="0"/>
        <v>22</v>
      </c>
      <c r="C39" s="3" t="s">
        <v>254</v>
      </c>
      <c r="D39" s="1">
        <v>1</v>
      </c>
      <c r="E39" s="118" t="s">
        <v>245</v>
      </c>
      <c r="F39" s="118" t="s">
        <v>246</v>
      </c>
      <c r="G39" s="5" t="s">
        <v>256</v>
      </c>
      <c r="I39" s="129" t="s">
        <v>112</v>
      </c>
      <c r="J39" s="130"/>
      <c r="K39" s="131" t="s">
        <v>127</v>
      </c>
      <c r="L39" s="132"/>
      <c r="M39" s="133"/>
      <c r="O39" s="129" t="s">
        <v>112</v>
      </c>
      <c r="P39" s="130"/>
      <c r="Q39" s="131" t="s">
        <v>241</v>
      </c>
      <c r="R39" s="132"/>
      <c r="S39" s="133"/>
    </row>
    <row r="40" spans="2:19" x14ac:dyDescent="0.3">
      <c r="B40" s="145">
        <f t="shared" si="0"/>
        <v>23</v>
      </c>
      <c r="C40" s="3" t="s">
        <v>275</v>
      </c>
      <c r="D40" s="1">
        <v>1</v>
      </c>
      <c r="E40" s="2" t="s">
        <v>245</v>
      </c>
      <c r="F40" s="103" t="s">
        <v>246</v>
      </c>
      <c r="G40" s="5" t="s">
        <v>278</v>
      </c>
      <c r="I40" s="129" t="s">
        <v>110</v>
      </c>
      <c r="J40" s="130"/>
      <c r="K40" s="131" t="s">
        <v>111</v>
      </c>
      <c r="L40" s="132"/>
      <c r="M40" s="133"/>
      <c r="O40" s="129" t="s">
        <v>110</v>
      </c>
      <c r="P40" s="130"/>
      <c r="Q40" s="129" t="s">
        <v>66</v>
      </c>
      <c r="R40" s="143"/>
      <c r="S40" s="130"/>
    </row>
    <row r="41" spans="2:19" ht="17.25" thickBot="1" x14ac:dyDescent="0.35">
      <c r="B41" s="145">
        <f t="shared" si="0"/>
        <v>24</v>
      </c>
      <c r="C41" s="3" t="s">
        <v>255</v>
      </c>
      <c r="D41" s="1">
        <v>1</v>
      </c>
      <c r="E41" s="118" t="s">
        <v>245</v>
      </c>
      <c r="F41" s="118" t="s">
        <v>246</v>
      </c>
      <c r="G41" s="5" t="s">
        <v>257</v>
      </c>
      <c r="I41" s="123" t="s">
        <v>8</v>
      </c>
      <c r="J41" s="124"/>
      <c r="K41" s="125" t="s">
        <v>129</v>
      </c>
      <c r="L41" s="126"/>
      <c r="M41" s="127"/>
      <c r="O41" s="123" t="s">
        <v>8</v>
      </c>
      <c r="P41" s="124"/>
      <c r="Q41" s="125" t="s">
        <v>178</v>
      </c>
      <c r="R41" s="126"/>
      <c r="S41" s="127"/>
    </row>
    <row r="42" spans="2:19" ht="33.75" thickBot="1" x14ac:dyDescent="0.35">
      <c r="B42" s="145">
        <f t="shared" si="0"/>
        <v>25</v>
      </c>
      <c r="C42" s="3" t="s">
        <v>226</v>
      </c>
      <c r="D42" s="90" t="s">
        <v>20</v>
      </c>
      <c r="E42" s="1" t="s">
        <v>242</v>
      </c>
      <c r="F42" s="103" t="s">
        <v>78</v>
      </c>
      <c r="G42" s="5" t="s">
        <v>228</v>
      </c>
      <c r="I42" s="67" t="s">
        <v>41</v>
      </c>
      <c r="J42" s="128" t="s">
        <v>101</v>
      </c>
      <c r="K42" s="128"/>
      <c r="L42" s="128"/>
      <c r="M42" s="69" t="s">
        <v>8</v>
      </c>
      <c r="O42" s="67" t="s">
        <v>41</v>
      </c>
      <c r="P42" s="128" t="s">
        <v>101</v>
      </c>
      <c r="Q42" s="128"/>
      <c r="R42" s="128"/>
      <c r="S42" s="69" t="s">
        <v>8</v>
      </c>
    </row>
    <row r="43" spans="2:19" ht="33.75" thickBot="1" x14ac:dyDescent="0.35">
      <c r="B43" s="145">
        <f t="shared" si="0"/>
        <v>26</v>
      </c>
      <c r="C43" s="116" t="s">
        <v>227</v>
      </c>
      <c r="D43" s="117" t="s">
        <v>20</v>
      </c>
      <c r="E43" s="115" t="s">
        <v>242</v>
      </c>
      <c r="F43" s="119" t="s">
        <v>268</v>
      </c>
      <c r="G43" s="116" t="s">
        <v>229</v>
      </c>
      <c r="I43" s="70">
        <v>1</v>
      </c>
      <c r="J43" s="137" t="s">
        <v>20</v>
      </c>
      <c r="K43" s="137"/>
      <c r="L43" s="137"/>
      <c r="M43" s="71" t="s">
        <v>137</v>
      </c>
      <c r="O43" s="87">
        <v>1</v>
      </c>
      <c r="P43" s="144" t="s">
        <v>21</v>
      </c>
      <c r="Q43" s="144"/>
      <c r="R43" s="144"/>
      <c r="S43" s="88" t="s">
        <v>136</v>
      </c>
    </row>
    <row r="44" spans="2:19" ht="17.25" thickBot="1" x14ac:dyDescent="0.35">
      <c r="B44" s="145">
        <f t="shared" si="0"/>
        <v>27</v>
      </c>
      <c r="C44" s="3" t="s">
        <v>312</v>
      </c>
      <c r="D44" s="1">
        <v>1</v>
      </c>
      <c r="E44" s="2" t="s">
        <v>245</v>
      </c>
      <c r="F44" s="2" t="s">
        <v>246</v>
      </c>
      <c r="G44" s="5" t="s">
        <v>315</v>
      </c>
      <c r="I44" s="67" t="s">
        <v>41</v>
      </c>
      <c r="J44" s="68" t="s">
        <v>94</v>
      </c>
      <c r="K44" s="68" t="s">
        <v>1</v>
      </c>
      <c r="L44" s="68" t="s">
        <v>4</v>
      </c>
      <c r="M44" s="69" t="s">
        <v>8</v>
      </c>
      <c r="O44" s="80">
        <v>2</v>
      </c>
      <c r="P44" s="126" t="s">
        <v>20</v>
      </c>
      <c r="Q44" s="126"/>
      <c r="R44" s="126"/>
      <c r="S44" s="82" t="s">
        <v>137</v>
      </c>
    </row>
    <row r="45" spans="2:19" ht="17.25" thickBot="1" x14ac:dyDescent="0.35">
      <c r="B45" s="145">
        <f t="shared" si="0"/>
        <v>28</v>
      </c>
      <c r="C45" s="3" t="s">
        <v>291</v>
      </c>
      <c r="D45" s="90" t="s">
        <v>49</v>
      </c>
      <c r="E45" s="1" t="s">
        <v>47</v>
      </c>
      <c r="F45" s="1" t="s">
        <v>292</v>
      </c>
      <c r="G45" s="5" t="s">
        <v>54</v>
      </c>
      <c r="I45" s="72">
        <v>1</v>
      </c>
      <c r="J45" s="73" t="s">
        <v>95</v>
      </c>
      <c r="K45" s="73" t="s">
        <v>130</v>
      </c>
      <c r="L45" s="73">
        <v>6</v>
      </c>
      <c r="M45" s="75" t="s">
        <v>132</v>
      </c>
      <c r="O45" s="67" t="s">
        <v>41</v>
      </c>
      <c r="P45" s="68" t="s">
        <v>94</v>
      </c>
      <c r="Q45" s="68" t="s">
        <v>1</v>
      </c>
      <c r="R45" s="68" t="s">
        <v>4</v>
      </c>
      <c r="S45" s="69" t="s">
        <v>8</v>
      </c>
    </row>
    <row r="46" spans="2:19" x14ac:dyDescent="0.3">
      <c r="B46" s="145">
        <f t="shared" si="0"/>
        <v>29</v>
      </c>
      <c r="C46" s="3" t="s">
        <v>292</v>
      </c>
      <c r="D46" s="90" t="s">
        <v>20</v>
      </c>
      <c r="E46" s="1" t="s">
        <v>291</v>
      </c>
      <c r="F46" s="2" t="s">
        <v>40</v>
      </c>
      <c r="G46" s="5" t="s">
        <v>52</v>
      </c>
      <c r="I46" s="76">
        <v>2</v>
      </c>
      <c r="J46" s="77" t="s">
        <v>95</v>
      </c>
      <c r="K46" s="77" t="s">
        <v>118</v>
      </c>
      <c r="L46" s="77">
        <v>3</v>
      </c>
      <c r="M46" s="79" t="s">
        <v>80</v>
      </c>
      <c r="O46" s="72">
        <v>1</v>
      </c>
      <c r="P46" s="73" t="s">
        <v>95</v>
      </c>
      <c r="Q46" s="73" t="s">
        <v>5</v>
      </c>
      <c r="R46" s="73">
        <v>1</v>
      </c>
      <c r="S46" s="75" t="s">
        <v>158</v>
      </c>
    </row>
    <row r="47" spans="2:19" ht="33.75" thickBot="1" x14ac:dyDescent="0.35">
      <c r="B47" s="145">
        <f t="shared" si="0"/>
        <v>30</v>
      </c>
      <c r="C47" s="3" t="s">
        <v>230</v>
      </c>
      <c r="D47" s="90" t="s">
        <v>20</v>
      </c>
      <c r="E47" s="1" t="s">
        <v>242</v>
      </c>
      <c r="F47" s="103" t="s">
        <v>48</v>
      </c>
      <c r="G47" s="5" t="s">
        <v>232</v>
      </c>
      <c r="I47" s="80">
        <v>3</v>
      </c>
      <c r="J47" s="66" t="s">
        <v>96</v>
      </c>
      <c r="K47" s="66" t="s">
        <v>131</v>
      </c>
      <c r="L47" s="66">
        <v>4</v>
      </c>
      <c r="M47" s="82" t="s">
        <v>79</v>
      </c>
      <c r="O47" s="72">
        <v>2</v>
      </c>
      <c r="P47" s="73" t="s">
        <v>95</v>
      </c>
      <c r="Q47" s="73" t="s">
        <v>6</v>
      </c>
      <c r="R47" s="73">
        <v>1</v>
      </c>
      <c r="S47" s="75" t="s">
        <v>159</v>
      </c>
    </row>
    <row r="48" spans="2:19" ht="17.25" thickBot="1" x14ac:dyDescent="0.35">
      <c r="B48" s="145">
        <f t="shared" si="0"/>
        <v>31</v>
      </c>
      <c r="C48" s="3" t="s">
        <v>196</v>
      </c>
      <c r="D48" s="90" t="s">
        <v>20</v>
      </c>
      <c r="E48" s="1" t="s">
        <v>243</v>
      </c>
      <c r="F48" s="2" t="s">
        <v>66</v>
      </c>
      <c r="G48" s="5" t="s">
        <v>197</v>
      </c>
      <c r="I48" s="138" t="s">
        <v>108</v>
      </c>
      <c r="J48" s="139"/>
      <c r="K48" s="140" t="s">
        <v>67</v>
      </c>
      <c r="L48" s="141"/>
      <c r="M48" s="142"/>
      <c r="O48" s="83">
        <v>3</v>
      </c>
      <c r="P48" s="73" t="s">
        <v>95</v>
      </c>
      <c r="Q48" s="73" t="s">
        <v>179</v>
      </c>
      <c r="R48" s="86" t="s">
        <v>20</v>
      </c>
      <c r="S48" s="75" t="s">
        <v>184</v>
      </c>
    </row>
    <row r="49" spans="2:19" ht="33" x14ac:dyDescent="0.3">
      <c r="B49" s="145">
        <f t="shared" si="0"/>
        <v>32</v>
      </c>
      <c r="C49" s="3" t="s">
        <v>200</v>
      </c>
      <c r="D49" s="90" t="s">
        <v>21</v>
      </c>
      <c r="E49" s="1" t="s">
        <v>243</v>
      </c>
      <c r="F49" s="103" t="s">
        <v>262</v>
      </c>
      <c r="G49" s="99" t="s">
        <v>198</v>
      </c>
      <c r="O49" s="83">
        <v>4</v>
      </c>
      <c r="P49" s="77" t="s">
        <v>95</v>
      </c>
      <c r="Q49" s="84" t="s">
        <v>180</v>
      </c>
      <c r="R49" s="84">
        <v>1</v>
      </c>
      <c r="S49" s="85" t="s">
        <v>185</v>
      </c>
    </row>
    <row r="50" spans="2:19" ht="17.25" thickBot="1" x14ac:dyDescent="0.35">
      <c r="B50" s="146">
        <f t="shared" si="0"/>
        <v>33</v>
      </c>
      <c r="C50" s="3" t="s">
        <v>202</v>
      </c>
      <c r="D50" s="1">
        <v>3</v>
      </c>
      <c r="E50" s="1" t="s">
        <v>58</v>
      </c>
      <c r="F50" s="2" t="s">
        <v>245</v>
      </c>
      <c r="G50" s="5" t="s">
        <v>216</v>
      </c>
      <c r="O50" s="83">
        <v>5</v>
      </c>
      <c r="P50" s="77" t="s">
        <v>95</v>
      </c>
      <c r="Q50" s="84" t="s">
        <v>181</v>
      </c>
      <c r="R50" s="86" t="s">
        <v>20</v>
      </c>
      <c r="S50" s="85" t="s">
        <v>185</v>
      </c>
    </row>
    <row r="51" spans="2:19" x14ac:dyDescent="0.3">
      <c r="B51" s="145">
        <f t="shared" ref="B51:B82" si="1">IF(C51="","",B50+1)</f>
        <v>34</v>
      </c>
      <c r="C51" s="3" t="s">
        <v>209</v>
      </c>
      <c r="D51" s="1">
        <v>1</v>
      </c>
      <c r="E51" s="1" t="s">
        <v>58</v>
      </c>
      <c r="F51" s="2" t="s">
        <v>245</v>
      </c>
      <c r="G51" s="5" t="s">
        <v>223</v>
      </c>
      <c r="I51" s="120" t="s">
        <v>106</v>
      </c>
      <c r="J51" s="122"/>
      <c r="K51" s="120" t="s">
        <v>133</v>
      </c>
      <c r="L51" s="121"/>
      <c r="M51" s="122"/>
      <c r="O51" s="83">
        <v>6</v>
      </c>
      <c r="P51" s="77" t="s">
        <v>95</v>
      </c>
      <c r="Q51" s="84" t="s">
        <v>167</v>
      </c>
      <c r="R51" s="86" t="s">
        <v>20</v>
      </c>
      <c r="S51" s="85" t="s">
        <v>172</v>
      </c>
    </row>
    <row r="52" spans="2:19" x14ac:dyDescent="0.3">
      <c r="B52" s="145">
        <f t="shared" si="1"/>
        <v>35</v>
      </c>
      <c r="C52" s="3" t="s">
        <v>204</v>
      </c>
      <c r="D52" s="1">
        <v>1</v>
      </c>
      <c r="E52" s="1" t="s">
        <v>58</v>
      </c>
      <c r="F52" s="2" t="s">
        <v>242</v>
      </c>
      <c r="G52" s="5" t="s">
        <v>218</v>
      </c>
      <c r="I52" s="129" t="s">
        <v>112</v>
      </c>
      <c r="J52" s="130"/>
      <c r="K52" s="131" t="s">
        <v>134</v>
      </c>
      <c r="L52" s="132"/>
      <c r="M52" s="133"/>
      <c r="O52" s="83">
        <v>7</v>
      </c>
      <c r="P52" s="77" t="s">
        <v>96</v>
      </c>
      <c r="Q52" s="77" t="s">
        <v>182</v>
      </c>
      <c r="R52" s="86" t="s">
        <v>20</v>
      </c>
      <c r="S52" s="79" t="s">
        <v>186</v>
      </c>
    </row>
    <row r="53" spans="2:19" x14ac:dyDescent="0.3">
      <c r="B53" s="145">
        <f t="shared" si="1"/>
        <v>36</v>
      </c>
      <c r="C53" s="3" t="s">
        <v>210</v>
      </c>
      <c r="D53" s="1">
        <v>1</v>
      </c>
      <c r="E53" s="1" t="s">
        <v>58</v>
      </c>
      <c r="F53" s="2" t="s">
        <v>245</v>
      </c>
      <c r="G53" s="5" t="s">
        <v>224</v>
      </c>
      <c r="I53" s="129" t="s">
        <v>110</v>
      </c>
      <c r="J53" s="130"/>
      <c r="K53" s="131" t="s">
        <v>111</v>
      </c>
      <c r="L53" s="132"/>
      <c r="M53" s="133"/>
      <c r="O53" s="83">
        <v>8</v>
      </c>
      <c r="P53" s="84" t="s">
        <v>96</v>
      </c>
      <c r="Q53" s="84" t="s">
        <v>121</v>
      </c>
      <c r="R53" s="84">
        <v>1</v>
      </c>
      <c r="S53" s="85" t="s">
        <v>187</v>
      </c>
    </row>
    <row r="54" spans="2:19" ht="17.25" thickBot="1" x14ac:dyDescent="0.35">
      <c r="B54" s="145">
        <f t="shared" si="1"/>
        <v>37</v>
      </c>
      <c r="C54" s="3" t="s">
        <v>203</v>
      </c>
      <c r="D54" s="1">
        <v>1</v>
      </c>
      <c r="E54" s="1" t="s">
        <v>58</v>
      </c>
      <c r="F54" s="1" t="s">
        <v>245</v>
      </c>
      <c r="G54" s="5" t="s">
        <v>217</v>
      </c>
      <c r="I54" s="123" t="s">
        <v>8</v>
      </c>
      <c r="J54" s="124"/>
      <c r="K54" s="125" t="s">
        <v>135</v>
      </c>
      <c r="L54" s="126"/>
      <c r="M54" s="127"/>
      <c r="O54" s="83">
        <v>9</v>
      </c>
      <c r="P54" s="84" t="s">
        <v>96</v>
      </c>
      <c r="Q54" s="84" t="s">
        <v>183</v>
      </c>
      <c r="R54" s="86" t="s">
        <v>20</v>
      </c>
      <c r="S54" s="85" t="s">
        <v>29</v>
      </c>
    </row>
    <row r="55" spans="2:19" ht="17.25" thickBot="1" x14ac:dyDescent="0.35">
      <c r="B55" s="145">
        <f t="shared" si="1"/>
        <v>38</v>
      </c>
      <c r="C55" s="3" t="s">
        <v>299</v>
      </c>
      <c r="D55" s="90" t="s">
        <v>57</v>
      </c>
      <c r="E55" s="1" t="s">
        <v>44</v>
      </c>
      <c r="F55" s="2" t="s">
        <v>43</v>
      </c>
      <c r="G55" s="5" t="s">
        <v>62</v>
      </c>
      <c r="I55" s="67" t="s">
        <v>41</v>
      </c>
      <c r="J55" s="128" t="s">
        <v>101</v>
      </c>
      <c r="K55" s="128"/>
      <c r="L55" s="128"/>
      <c r="M55" s="69" t="s">
        <v>8</v>
      </c>
      <c r="O55" s="80">
        <v>10</v>
      </c>
      <c r="P55" s="66" t="s">
        <v>96</v>
      </c>
      <c r="Q55" s="66" t="s">
        <v>170</v>
      </c>
      <c r="R55" s="81" t="s">
        <v>20</v>
      </c>
      <c r="S55" s="82" t="s">
        <v>29</v>
      </c>
    </row>
    <row r="56" spans="2:19" ht="17.25" thickBot="1" x14ac:dyDescent="0.35">
      <c r="B56" s="33">
        <f t="shared" si="1"/>
        <v>39</v>
      </c>
      <c r="C56" s="3" t="s">
        <v>248</v>
      </c>
      <c r="D56" s="1">
        <v>6</v>
      </c>
      <c r="E56" s="1" t="s">
        <v>44</v>
      </c>
      <c r="F56" s="2" t="s">
        <v>245</v>
      </c>
      <c r="G56" s="5" t="s">
        <v>249</v>
      </c>
      <c r="I56" s="87">
        <v>1</v>
      </c>
      <c r="J56" s="144" t="s">
        <v>20</v>
      </c>
      <c r="K56" s="144"/>
      <c r="L56" s="144"/>
      <c r="M56" s="88" t="s">
        <v>137</v>
      </c>
      <c r="O56" s="138" t="s">
        <v>108</v>
      </c>
      <c r="P56" s="139"/>
      <c r="Q56" s="140" t="s">
        <v>246</v>
      </c>
      <c r="R56" s="141"/>
      <c r="S56" s="142"/>
    </row>
    <row r="57" spans="2:19" ht="33.75" thickBot="1" x14ac:dyDescent="0.35">
      <c r="B57" s="33">
        <f t="shared" si="1"/>
        <v>40</v>
      </c>
      <c r="C57" s="97" t="s">
        <v>286</v>
      </c>
      <c r="D57" s="101" t="s">
        <v>45</v>
      </c>
      <c r="E57" s="33" t="s">
        <v>44</v>
      </c>
      <c r="F57" s="98" t="s">
        <v>42</v>
      </c>
      <c r="G57" s="99" t="s">
        <v>50</v>
      </c>
      <c r="I57" s="80">
        <v>2</v>
      </c>
      <c r="J57" s="126" t="s">
        <v>55</v>
      </c>
      <c r="K57" s="126"/>
      <c r="L57" s="126"/>
      <c r="M57" s="89" t="s">
        <v>138</v>
      </c>
    </row>
    <row r="58" spans="2:19" ht="17.25" thickBot="1" x14ac:dyDescent="0.35">
      <c r="B58" s="33">
        <f t="shared" si="1"/>
        <v>41</v>
      </c>
      <c r="C58" s="3" t="s">
        <v>294</v>
      </c>
      <c r="D58" s="90" t="s">
        <v>55</v>
      </c>
      <c r="E58" s="1" t="s">
        <v>44</v>
      </c>
      <c r="F58" s="2" t="s">
        <v>58</v>
      </c>
      <c r="G58" s="5" t="s">
        <v>59</v>
      </c>
      <c r="I58" s="67" t="s">
        <v>41</v>
      </c>
      <c r="J58" s="68" t="s">
        <v>94</v>
      </c>
      <c r="K58" s="68" t="s">
        <v>1</v>
      </c>
      <c r="L58" s="68" t="s">
        <v>4</v>
      </c>
      <c r="M58" s="69" t="s">
        <v>8</v>
      </c>
      <c r="O58" s="120" t="s">
        <v>106</v>
      </c>
      <c r="P58" s="122"/>
      <c r="Q58" s="120" t="s">
        <v>188</v>
      </c>
      <c r="R58" s="121"/>
      <c r="S58" s="122"/>
    </row>
    <row r="59" spans="2:19" x14ac:dyDescent="0.3">
      <c r="B59" s="33">
        <f t="shared" si="1"/>
        <v>42</v>
      </c>
      <c r="C59" s="3" t="s">
        <v>297</v>
      </c>
      <c r="D59" s="90" t="s">
        <v>56</v>
      </c>
      <c r="E59" s="1" t="s">
        <v>44</v>
      </c>
      <c r="F59" s="2" t="s">
        <v>245</v>
      </c>
      <c r="G59" s="5" t="s">
        <v>318</v>
      </c>
      <c r="I59" s="72">
        <v>1</v>
      </c>
      <c r="J59" s="73" t="s">
        <v>95</v>
      </c>
      <c r="K59" s="73" t="s">
        <v>139</v>
      </c>
      <c r="L59" s="74" t="s">
        <v>55</v>
      </c>
      <c r="M59" s="75" t="s">
        <v>59</v>
      </c>
      <c r="O59" s="129" t="s">
        <v>112</v>
      </c>
      <c r="P59" s="130"/>
      <c r="Q59" s="131" t="s">
        <v>241</v>
      </c>
      <c r="R59" s="132"/>
      <c r="S59" s="133"/>
    </row>
    <row r="60" spans="2:19" x14ac:dyDescent="0.3">
      <c r="B60" s="33">
        <f t="shared" si="1"/>
        <v>43</v>
      </c>
      <c r="C60" s="3" t="s">
        <v>295</v>
      </c>
      <c r="D60" s="90" t="s">
        <v>56</v>
      </c>
      <c r="E60" s="1" t="s">
        <v>44</v>
      </c>
      <c r="F60" s="2" t="s">
        <v>63</v>
      </c>
      <c r="G60" s="5" t="s">
        <v>60</v>
      </c>
      <c r="I60" s="76">
        <v>2</v>
      </c>
      <c r="J60" s="84" t="s">
        <v>96</v>
      </c>
      <c r="K60" s="77" t="s">
        <v>140</v>
      </c>
      <c r="L60" s="77">
        <v>1</v>
      </c>
      <c r="M60" s="79" t="s">
        <v>68</v>
      </c>
      <c r="O60" s="129" t="s">
        <v>110</v>
      </c>
      <c r="P60" s="130"/>
      <c r="Q60" s="129" t="s">
        <v>66</v>
      </c>
      <c r="R60" s="143"/>
      <c r="S60" s="130"/>
    </row>
    <row r="61" spans="2:19" ht="17.25" thickBot="1" x14ac:dyDescent="0.35">
      <c r="B61" s="33">
        <f t="shared" si="1"/>
        <v>44</v>
      </c>
      <c r="C61" s="3" t="s">
        <v>296</v>
      </c>
      <c r="D61" s="90" t="s">
        <v>56</v>
      </c>
      <c r="E61" s="1" t="s">
        <v>44</v>
      </c>
      <c r="F61" s="2" t="s">
        <v>63</v>
      </c>
      <c r="G61" s="5" t="s">
        <v>319</v>
      </c>
      <c r="I61" s="83">
        <v>3</v>
      </c>
      <c r="J61" s="84" t="s">
        <v>96</v>
      </c>
      <c r="K61" s="84" t="s">
        <v>141</v>
      </c>
      <c r="L61" s="84">
        <v>1</v>
      </c>
      <c r="M61" s="85" t="s">
        <v>149</v>
      </c>
      <c r="O61" s="123" t="s">
        <v>8</v>
      </c>
      <c r="P61" s="124"/>
      <c r="Q61" s="125" t="s">
        <v>189</v>
      </c>
      <c r="R61" s="126"/>
      <c r="S61" s="127"/>
    </row>
    <row r="62" spans="2:19" ht="17.25" thickBot="1" x14ac:dyDescent="0.35">
      <c r="B62" s="33">
        <f t="shared" si="1"/>
        <v>45</v>
      </c>
      <c r="C62" s="3" t="s">
        <v>298</v>
      </c>
      <c r="D62" s="1">
        <v>5</v>
      </c>
      <c r="E62" s="1" t="s">
        <v>44</v>
      </c>
      <c r="F62" s="2" t="s">
        <v>66</v>
      </c>
      <c r="G62" s="5" t="s">
        <v>61</v>
      </c>
      <c r="I62" s="83">
        <v>4</v>
      </c>
      <c r="J62" s="84" t="s">
        <v>96</v>
      </c>
      <c r="K62" s="84" t="s">
        <v>142</v>
      </c>
      <c r="L62" s="84">
        <v>1</v>
      </c>
      <c r="M62" s="85" t="s">
        <v>150</v>
      </c>
      <c r="O62" s="67" t="s">
        <v>41</v>
      </c>
      <c r="P62" s="128" t="s">
        <v>101</v>
      </c>
      <c r="Q62" s="128"/>
      <c r="R62" s="128"/>
      <c r="S62" s="69" t="s">
        <v>8</v>
      </c>
    </row>
    <row r="63" spans="2:19" ht="33" x14ac:dyDescent="0.3">
      <c r="B63" s="33">
        <f t="shared" si="1"/>
        <v>46</v>
      </c>
      <c r="C63" s="3" t="s">
        <v>236</v>
      </c>
      <c r="D63" s="101" t="s">
        <v>20</v>
      </c>
      <c r="E63" s="102" t="s">
        <v>290</v>
      </c>
      <c r="F63" s="2" t="s">
        <v>245</v>
      </c>
      <c r="G63" s="5" t="s">
        <v>237</v>
      </c>
      <c r="I63" s="83">
        <v>5</v>
      </c>
      <c r="J63" s="84" t="s">
        <v>96</v>
      </c>
      <c r="K63" s="84" t="s">
        <v>143</v>
      </c>
      <c r="L63" s="84">
        <v>1</v>
      </c>
      <c r="M63" s="85" t="s">
        <v>69</v>
      </c>
      <c r="O63" s="87">
        <v>1</v>
      </c>
      <c r="P63" s="144" t="s">
        <v>21</v>
      </c>
      <c r="Q63" s="144"/>
      <c r="R63" s="144"/>
      <c r="S63" s="88" t="s">
        <v>136</v>
      </c>
    </row>
    <row r="64" spans="2:19" ht="17.25" thickBot="1" x14ac:dyDescent="0.35">
      <c r="B64" s="33">
        <f t="shared" si="1"/>
        <v>47</v>
      </c>
      <c r="C64" s="3" t="s">
        <v>207</v>
      </c>
      <c r="D64" s="1">
        <v>1</v>
      </c>
      <c r="E64" s="1" t="s">
        <v>58</v>
      </c>
      <c r="F64" s="118" t="s">
        <v>245</v>
      </c>
      <c r="G64" s="5" t="s">
        <v>221</v>
      </c>
      <c r="I64" s="83">
        <v>6</v>
      </c>
      <c r="J64" s="84" t="s">
        <v>96</v>
      </c>
      <c r="K64" s="84" t="s">
        <v>144</v>
      </c>
      <c r="L64" s="84">
        <v>1</v>
      </c>
      <c r="M64" s="85" t="s">
        <v>70</v>
      </c>
      <c r="O64" s="80">
        <v>2</v>
      </c>
      <c r="P64" s="126" t="s">
        <v>20</v>
      </c>
      <c r="Q64" s="126"/>
      <c r="R64" s="126"/>
      <c r="S64" s="82" t="s">
        <v>137</v>
      </c>
    </row>
    <row r="65" spans="2:19" ht="17.25" thickBot="1" x14ac:dyDescent="0.35">
      <c r="B65" s="33">
        <f t="shared" si="1"/>
        <v>48</v>
      </c>
      <c r="C65" s="3" t="s">
        <v>205</v>
      </c>
      <c r="D65" s="1">
        <v>1</v>
      </c>
      <c r="E65" s="1" t="s">
        <v>58</v>
      </c>
      <c r="F65" s="2" t="s">
        <v>242</v>
      </c>
      <c r="G65" s="5" t="s">
        <v>219</v>
      </c>
      <c r="I65" s="83">
        <v>7</v>
      </c>
      <c r="J65" s="84" t="s">
        <v>96</v>
      </c>
      <c r="K65" s="84" t="s">
        <v>145</v>
      </c>
      <c r="L65" s="84">
        <v>1</v>
      </c>
      <c r="M65" s="85" t="s">
        <v>71</v>
      </c>
      <c r="O65" s="67" t="s">
        <v>41</v>
      </c>
      <c r="P65" s="68" t="s">
        <v>94</v>
      </c>
      <c r="Q65" s="68" t="s">
        <v>1</v>
      </c>
      <c r="R65" s="68" t="s">
        <v>4</v>
      </c>
      <c r="S65" s="69" t="s">
        <v>8</v>
      </c>
    </row>
    <row r="66" spans="2:19" x14ac:dyDescent="0.3">
      <c r="B66" s="33">
        <f t="shared" si="1"/>
        <v>49</v>
      </c>
      <c r="C66" s="3" t="s">
        <v>208</v>
      </c>
      <c r="D66" s="1">
        <v>1</v>
      </c>
      <c r="E66" s="1" t="s">
        <v>58</v>
      </c>
      <c r="F66" s="118" t="s">
        <v>245</v>
      </c>
      <c r="G66" s="5" t="s">
        <v>222</v>
      </c>
      <c r="I66" s="83">
        <v>8</v>
      </c>
      <c r="J66" s="84" t="s">
        <v>96</v>
      </c>
      <c r="K66" s="84" t="s">
        <v>146</v>
      </c>
      <c r="L66" s="84">
        <v>1</v>
      </c>
      <c r="M66" s="85" t="s">
        <v>72</v>
      </c>
      <c r="O66" s="72">
        <v>1</v>
      </c>
      <c r="P66" s="73" t="s">
        <v>95</v>
      </c>
      <c r="Q66" s="73" t="s">
        <v>5</v>
      </c>
      <c r="R66" s="73">
        <v>1</v>
      </c>
      <c r="S66" s="75" t="s">
        <v>158</v>
      </c>
    </row>
    <row r="67" spans="2:19" x14ac:dyDescent="0.3">
      <c r="B67" s="33">
        <f t="shared" si="1"/>
        <v>50</v>
      </c>
      <c r="C67" s="3" t="s">
        <v>212</v>
      </c>
      <c r="D67" s="90" t="s">
        <v>20</v>
      </c>
      <c r="E67" s="1" t="s">
        <v>63</v>
      </c>
      <c r="F67" s="115" t="s">
        <v>242</v>
      </c>
      <c r="G67" s="5" t="s">
        <v>214</v>
      </c>
      <c r="I67" s="83">
        <v>9</v>
      </c>
      <c r="J67" s="84" t="s">
        <v>96</v>
      </c>
      <c r="K67" s="84" t="s">
        <v>131</v>
      </c>
      <c r="L67" s="84">
        <v>3</v>
      </c>
      <c r="M67" s="85" t="s">
        <v>80</v>
      </c>
      <c r="O67" s="72">
        <v>2</v>
      </c>
      <c r="P67" s="73" t="s">
        <v>95</v>
      </c>
      <c r="Q67" s="73" t="s">
        <v>6</v>
      </c>
      <c r="R67" s="73">
        <v>1</v>
      </c>
      <c r="S67" s="75" t="s">
        <v>159</v>
      </c>
    </row>
    <row r="68" spans="2:19" x14ac:dyDescent="0.3">
      <c r="B68" s="33">
        <f t="shared" si="1"/>
        <v>51</v>
      </c>
      <c r="C68" s="116" t="s">
        <v>213</v>
      </c>
      <c r="D68" s="117" t="s">
        <v>20</v>
      </c>
      <c r="E68" s="1" t="s">
        <v>63</v>
      </c>
      <c r="F68" s="115" t="s">
        <v>242</v>
      </c>
      <c r="G68" s="116" t="s">
        <v>215</v>
      </c>
      <c r="I68" s="83">
        <v>10</v>
      </c>
      <c r="J68" s="84" t="s">
        <v>96</v>
      </c>
      <c r="K68" s="84" t="s">
        <v>147</v>
      </c>
      <c r="L68" s="84">
        <v>1</v>
      </c>
      <c r="M68" s="85" t="s">
        <v>73</v>
      </c>
      <c r="O68" s="83">
        <v>3</v>
      </c>
      <c r="P68" s="84" t="s">
        <v>95</v>
      </c>
      <c r="Q68" s="84" t="s">
        <v>190</v>
      </c>
      <c r="R68" s="86" t="s">
        <v>20</v>
      </c>
      <c r="S68" s="85" t="s">
        <v>28</v>
      </c>
    </row>
    <row r="69" spans="2:19" x14ac:dyDescent="0.3">
      <c r="B69" s="33">
        <f t="shared" si="1"/>
        <v>52</v>
      </c>
      <c r="C69" s="3" t="s">
        <v>301</v>
      </c>
      <c r="D69" s="90" t="s">
        <v>56</v>
      </c>
      <c r="E69" s="1" t="s">
        <v>65</v>
      </c>
      <c r="F69" s="103" t="s">
        <v>63</v>
      </c>
      <c r="G69" s="5" t="s">
        <v>81</v>
      </c>
      <c r="I69" s="83">
        <v>11</v>
      </c>
      <c r="J69" s="84" t="s">
        <v>96</v>
      </c>
      <c r="K69" s="84" t="s">
        <v>148</v>
      </c>
      <c r="L69" s="84">
        <v>1</v>
      </c>
      <c r="M69" s="85" t="s">
        <v>74</v>
      </c>
      <c r="O69" s="83">
        <v>4</v>
      </c>
      <c r="P69" s="84" t="s">
        <v>95</v>
      </c>
      <c r="Q69" s="84" t="s">
        <v>181</v>
      </c>
      <c r="R69" s="86" t="s">
        <v>20</v>
      </c>
      <c r="S69" s="85" t="s">
        <v>185</v>
      </c>
    </row>
    <row r="70" spans="2:19" x14ac:dyDescent="0.3">
      <c r="B70" s="33">
        <f t="shared" si="1"/>
        <v>53</v>
      </c>
      <c r="C70" s="3" t="s">
        <v>206</v>
      </c>
      <c r="D70" s="1">
        <v>1</v>
      </c>
      <c r="E70" s="1" t="s">
        <v>58</v>
      </c>
      <c r="F70" s="2" t="s">
        <v>245</v>
      </c>
      <c r="G70" s="5" t="s">
        <v>220</v>
      </c>
      <c r="I70" s="83">
        <v>12</v>
      </c>
      <c r="J70" s="84" t="s">
        <v>96</v>
      </c>
      <c r="K70" s="84" t="s">
        <v>18</v>
      </c>
      <c r="L70" s="84">
        <v>1</v>
      </c>
      <c r="M70" s="85" t="s">
        <v>151</v>
      </c>
      <c r="O70" s="83">
        <v>5</v>
      </c>
      <c r="P70" s="84" t="s">
        <v>96</v>
      </c>
      <c r="Q70" s="84" t="s">
        <v>191</v>
      </c>
      <c r="R70" s="86" t="s">
        <v>20</v>
      </c>
      <c r="S70" s="85" t="s">
        <v>192</v>
      </c>
    </row>
    <row r="71" spans="2:19" ht="50.25" thickBot="1" x14ac:dyDescent="0.35">
      <c r="B71" s="33">
        <f t="shared" si="1"/>
        <v>54</v>
      </c>
      <c r="C71" s="3" t="s">
        <v>289</v>
      </c>
      <c r="D71" s="101" t="s">
        <v>46</v>
      </c>
      <c r="E71" s="1" t="s">
        <v>42</v>
      </c>
      <c r="F71" s="2" t="s">
        <v>236</v>
      </c>
      <c r="G71" s="5" t="s">
        <v>51</v>
      </c>
      <c r="I71" s="80">
        <v>13</v>
      </c>
      <c r="J71" s="66" t="s">
        <v>95</v>
      </c>
      <c r="K71" s="66" t="s">
        <v>19</v>
      </c>
      <c r="L71" s="66">
        <v>1</v>
      </c>
      <c r="M71" s="82" t="s">
        <v>152</v>
      </c>
      <c r="O71" s="83">
        <v>6</v>
      </c>
      <c r="P71" s="84" t="s">
        <v>96</v>
      </c>
      <c r="Q71" s="84" t="s">
        <v>183</v>
      </c>
      <c r="R71" s="86" t="s">
        <v>20</v>
      </c>
      <c r="S71" s="85" t="s">
        <v>193</v>
      </c>
    </row>
    <row r="72" spans="2:19" ht="17.25" thickBot="1" x14ac:dyDescent="0.35">
      <c r="B72" s="33">
        <f t="shared" si="1"/>
        <v>55</v>
      </c>
      <c r="C72" s="3" t="s">
        <v>211</v>
      </c>
      <c r="D72" s="1">
        <v>1</v>
      </c>
      <c r="E72" s="1" t="s">
        <v>58</v>
      </c>
      <c r="F72" s="2" t="s">
        <v>43</v>
      </c>
      <c r="G72" s="5" t="s">
        <v>225</v>
      </c>
      <c r="I72" s="138" t="s">
        <v>108</v>
      </c>
      <c r="J72" s="139"/>
      <c r="K72" s="140" t="s">
        <v>58</v>
      </c>
      <c r="L72" s="141"/>
      <c r="M72" s="142"/>
      <c r="O72" s="138" t="s">
        <v>108</v>
      </c>
      <c r="P72" s="139"/>
      <c r="Q72" s="140" t="s">
        <v>247</v>
      </c>
      <c r="R72" s="141"/>
      <c r="S72" s="142"/>
    </row>
    <row r="73" spans="2:19" x14ac:dyDescent="0.3">
      <c r="B73" s="33">
        <f t="shared" si="1"/>
        <v>56</v>
      </c>
      <c r="C73" s="3" t="s">
        <v>233</v>
      </c>
      <c r="D73" s="90" t="s">
        <v>20</v>
      </c>
      <c r="E73" s="1" t="s">
        <v>43</v>
      </c>
      <c r="F73" s="103" t="s">
        <v>242</v>
      </c>
      <c r="G73" s="5" t="s">
        <v>231</v>
      </c>
    </row>
    <row r="74" spans="2:19" x14ac:dyDescent="0.3">
      <c r="B74" s="33">
        <f t="shared" si="1"/>
        <v>57</v>
      </c>
      <c r="C74" s="97" t="s">
        <v>194</v>
      </c>
      <c r="D74" s="90" t="s">
        <v>21</v>
      </c>
      <c r="E74" s="33" t="s">
        <v>39</v>
      </c>
      <c r="F74" s="98" t="s">
        <v>244</v>
      </c>
      <c r="G74" s="99" t="s">
        <v>195</v>
      </c>
    </row>
    <row r="75" spans="2:19" ht="33" x14ac:dyDescent="0.3">
      <c r="B75" s="33">
        <f t="shared" si="1"/>
        <v>58</v>
      </c>
      <c r="C75" s="93" t="s">
        <v>287</v>
      </c>
      <c r="D75" s="94" t="s">
        <v>21</v>
      </c>
      <c r="E75" s="92" t="s">
        <v>35</v>
      </c>
      <c r="F75" s="95" t="s">
        <v>76</v>
      </c>
      <c r="G75" s="96" t="s">
        <v>37</v>
      </c>
    </row>
    <row r="76" spans="2:19" x14ac:dyDescent="0.3">
      <c r="B76" s="33">
        <f t="shared" si="1"/>
        <v>59</v>
      </c>
      <c r="C76" s="93" t="s">
        <v>288</v>
      </c>
      <c r="D76" s="92">
        <v>1</v>
      </c>
      <c r="E76" s="92" t="s">
        <v>35</v>
      </c>
      <c r="F76" s="100" t="s">
        <v>11</v>
      </c>
      <c r="G76" s="96" t="s">
        <v>38</v>
      </c>
    </row>
    <row r="77" spans="2:19" ht="33" x14ac:dyDescent="0.3">
      <c r="B77" s="33">
        <f t="shared" si="1"/>
        <v>60</v>
      </c>
      <c r="C77" s="104" t="s">
        <v>264</v>
      </c>
      <c r="D77" s="113" t="s">
        <v>20</v>
      </c>
      <c r="E77" s="105" t="s">
        <v>246</v>
      </c>
      <c r="F77" s="114" t="s">
        <v>282</v>
      </c>
      <c r="G77" s="107" t="s">
        <v>267</v>
      </c>
    </row>
    <row r="78" spans="2:19" x14ac:dyDescent="0.3">
      <c r="B78" s="33">
        <f t="shared" si="1"/>
        <v>61</v>
      </c>
      <c r="C78" s="3" t="s">
        <v>332</v>
      </c>
      <c r="D78" s="1">
        <v>1</v>
      </c>
      <c r="E78" s="103" t="s">
        <v>246</v>
      </c>
      <c r="F78" s="103" t="s">
        <v>247</v>
      </c>
      <c r="G78" s="5" t="s">
        <v>335</v>
      </c>
    </row>
    <row r="79" spans="2:19" x14ac:dyDescent="0.3">
      <c r="B79" s="33">
        <f t="shared" si="1"/>
        <v>62</v>
      </c>
      <c r="C79" s="3" t="s">
        <v>323</v>
      </c>
      <c r="D79" s="90" t="s">
        <v>56</v>
      </c>
      <c r="E79" s="103" t="s">
        <v>246</v>
      </c>
      <c r="F79" s="103" t="s">
        <v>247</v>
      </c>
      <c r="G79" s="5" t="s">
        <v>328</v>
      </c>
    </row>
    <row r="80" spans="2:19" x14ac:dyDescent="0.3">
      <c r="B80" s="33">
        <f t="shared" si="1"/>
        <v>63</v>
      </c>
      <c r="C80" s="3" t="s">
        <v>322</v>
      </c>
      <c r="D80" s="90" t="s">
        <v>56</v>
      </c>
      <c r="E80" s="103" t="s">
        <v>246</v>
      </c>
      <c r="F80" s="103" t="s">
        <v>247</v>
      </c>
      <c r="G80" s="5" t="s">
        <v>327</v>
      </c>
    </row>
    <row r="81" spans="2:7" x14ac:dyDescent="0.3">
      <c r="B81" s="33">
        <f t="shared" si="1"/>
        <v>64</v>
      </c>
      <c r="C81" s="104" t="s">
        <v>258</v>
      </c>
      <c r="D81" s="105">
        <v>1</v>
      </c>
      <c r="E81" s="105" t="s">
        <v>246</v>
      </c>
      <c r="F81" s="106" t="s">
        <v>14</v>
      </c>
      <c r="G81" s="107" t="s">
        <v>260</v>
      </c>
    </row>
    <row r="82" spans="2:7" x14ac:dyDescent="0.3">
      <c r="B82" s="33">
        <f t="shared" si="1"/>
        <v>65</v>
      </c>
      <c r="C82" s="3" t="s">
        <v>276</v>
      </c>
      <c r="D82" s="1">
        <v>1</v>
      </c>
      <c r="E82" s="2" t="s">
        <v>246</v>
      </c>
      <c r="F82" s="2" t="s">
        <v>247</v>
      </c>
      <c r="G82" s="5" t="s">
        <v>279</v>
      </c>
    </row>
    <row r="83" spans="2:7" ht="33" x14ac:dyDescent="0.3">
      <c r="B83" s="33">
        <f t="shared" ref="B83:B114" si="2">IF(C83="","",B82+1)</f>
        <v>66</v>
      </c>
      <c r="C83" s="104" t="s">
        <v>259</v>
      </c>
      <c r="D83" s="105">
        <v>1</v>
      </c>
      <c r="E83" s="105" t="s">
        <v>246</v>
      </c>
      <c r="F83" s="108" t="s">
        <v>75</v>
      </c>
      <c r="G83" s="107" t="s">
        <v>261</v>
      </c>
    </row>
    <row r="84" spans="2:7" x14ac:dyDescent="0.3">
      <c r="B84" s="33">
        <f t="shared" si="2"/>
        <v>67</v>
      </c>
      <c r="C84" s="109" t="s">
        <v>269</v>
      </c>
      <c r="D84" s="110" t="s">
        <v>20</v>
      </c>
      <c r="E84" s="111" t="s">
        <v>246</v>
      </c>
      <c r="F84" s="112" t="s">
        <v>17</v>
      </c>
      <c r="G84" s="109" t="s">
        <v>270</v>
      </c>
    </row>
    <row r="85" spans="2:7" x14ac:dyDescent="0.3">
      <c r="B85" s="33">
        <f t="shared" si="2"/>
        <v>68</v>
      </c>
      <c r="C85" s="3" t="s">
        <v>313</v>
      </c>
      <c r="D85" s="1">
        <v>1</v>
      </c>
      <c r="E85" s="2" t="s">
        <v>246</v>
      </c>
      <c r="F85" s="2" t="s">
        <v>247</v>
      </c>
      <c r="G85" s="5" t="s">
        <v>316</v>
      </c>
    </row>
    <row r="86" spans="2:7" x14ac:dyDescent="0.3">
      <c r="B86" s="33">
        <f t="shared" si="2"/>
        <v>69</v>
      </c>
      <c r="C86" s="3" t="s">
        <v>281</v>
      </c>
      <c r="D86" s="90" t="s">
        <v>20</v>
      </c>
      <c r="E86" s="1" t="s">
        <v>247</v>
      </c>
      <c r="F86" s="103" t="s">
        <v>84</v>
      </c>
      <c r="G86" s="5" t="s">
        <v>283</v>
      </c>
    </row>
    <row r="87" spans="2:7" x14ac:dyDescent="0.3">
      <c r="B87" s="33">
        <f t="shared" si="2"/>
        <v>70</v>
      </c>
      <c r="C87" s="3" t="s">
        <v>333</v>
      </c>
      <c r="D87" s="1">
        <v>1</v>
      </c>
      <c r="E87" s="103" t="s">
        <v>247</v>
      </c>
      <c r="F87" s="2" t="s">
        <v>65</v>
      </c>
      <c r="G87" s="5" t="s">
        <v>336</v>
      </c>
    </row>
    <row r="88" spans="2:7" x14ac:dyDescent="0.3">
      <c r="B88" s="33">
        <f t="shared" si="2"/>
        <v>71</v>
      </c>
      <c r="C88" s="3" t="s">
        <v>325</v>
      </c>
      <c r="D88" s="90" t="s">
        <v>56</v>
      </c>
      <c r="E88" s="103" t="s">
        <v>247</v>
      </c>
      <c r="F88" s="2" t="s">
        <v>65</v>
      </c>
      <c r="G88" s="5" t="s">
        <v>330</v>
      </c>
    </row>
    <row r="89" spans="2:7" ht="33" x14ac:dyDescent="0.3">
      <c r="B89" s="33">
        <f t="shared" si="2"/>
        <v>72</v>
      </c>
      <c r="C89" s="3" t="s">
        <v>324</v>
      </c>
      <c r="D89" s="90" t="s">
        <v>56</v>
      </c>
      <c r="E89" s="103" t="s">
        <v>247</v>
      </c>
      <c r="F89" s="103" t="s">
        <v>64</v>
      </c>
      <c r="G89" s="5" t="s">
        <v>329</v>
      </c>
    </row>
    <row r="90" spans="2:7" x14ac:dyDescent="0.3">
      <c r="B90" s="33">
        <f t="shared" si="2"/>
        <v>73</v>
      </c>
      <c r="C90" s="3" t="s">
        <v>277</v>
      </c>
      <c r="D90" s="1">
        <v>1</v>
      </c>
      <c r="E90" s="2" t="s">
        <v>247</v>
      </c>
      <c r="F90" s="2" t="s">
        <v>84</v>
      </c>
      <c r="G90" s="5" t="s">
        <v>280</v>
      </c>
    </row>
    <row r="91" spans="2:7" x14ac:dyDescent="0.3">
      <c r="B91" s="33">
        <f t="shared" si="2"/>
        <v>74</v>
      </c>
      <c r="C91" s="3" t="s">
        <v>302</v>
      </c>
      <c r="D91" s="90" t="s">
        <v>20</v>
      </c>
      <c r="E91" s="1" t="s">
        <v>84</v>
      </c>
      <c r="F91" s="2" t="s">
        <v>63</v>
      </c>
      <c r="G91" s="5" t="s">
        <v>303</v>
      </c>
    </row>
    <row r="92" spans="2:7" x14ac:dyDescent="0.3">
      <c r="B92" s="33">
        <f t="shared" si="2"/>
        <v>75</v>
      </c>
      <c r="C92" s="3" t="s">
        <v>314</v>
      </c>
      <c r="D92" s="1">
        <v>1</v>
      </c>
      <c r="E92" s="2" t="s">
        <v>247</v>
      </c>
      <c r="F92" s="2" t="s">
        <v>63</v>
      </c>
      <c r="G92" s="5" t="s">
        <v>317</v>
      </c>
    </row>
    <row r="93" spans="2:7" x14ac:dyDescent="0.3">
      <c r="B93" s="33" t="str">
        <f t="shared" si="2"/>
        <v/>
      </c>
    </row>
    <row r="94" spans="2:7" x14ac:dyDescent="0.3">
      <c r="B94" s="33" t="str">
        <f t="shared" si="2"/>
        <v/>
      </c>
    </row>
    <row r="95" spans="2:7" x14ac:dyDescent="0.3">
      <c r="B95" s="33" t="str">
        <f t="shared" si="2"/>
        <v/>
      </c>
    </row>
    <row r="96" spans="2:7" x14ac:dyDescent="0.3">
      <c r="B96" s="33" t="str">
        <f t="shared" si="2"/>
        <v/>
      </c>
    </row>
    <row r="97" spans="2:2" x14ac:dyDescent="0.3">
      <c r="B97" s="33" t="str">
        <f t="shared" si="2"/>
        <v/>
      </c>
    </row>
    <row r="98" spans="2:2" x14ac:dyDescent="0.3">
      <c r="B98" s="33" t="str">
        <f t="shared" si="2"/>
        <v/>
      </c>
    </row>
    <row r="99" spans="2:2" x14ac:dyDescent="0.3">
      <c r="B99" s="33" t="str">
        <f t="shared" si="2"/>
        <v/>
      </c>
    </row>
    <row r="100" spans="2:2" x14ac:dyDescent="0.3">
      <c r="B100" s="33" t="str">
        <f t="shared" si="2"/>
        <v/>
      </c>
    </row>
    <row r="101" spans="2:2" x14ac:dyDescent="0.3">
      <c r="B101" s="33" t="str">
        <f t="shared" si="2"/>
        <v/>
      </c>
    </row>
    <row r="102" spans="2:2" x14ac:dyDescent="0.3">
      <c r="B102" s="33" t="str">
        <f t="shared" si="2"/>
        <v/>
      </c>
    </row>
    <row r="103" spans="2:2" x14ac:dyDescent="0.3">
      <c r="B103" s="33" t="str">
        <f t="shared" si="2"/>
        <v/>
      </c>
    </row>
    <row r="104" spans="2:2" x14ac:dyDescent="0.3">
      <c r="B104" s="33" t="str">
        <f t="shared" si="2"/>
        <v/>
      </c>
    </row>
    <row r="105" spans="2:2" x14ac:dyDescent="0.3">
      <c r="B105" s="33" t="str">
        <f t="shared" si="2"/>
        <v/>
      </c>
    </row>
    <row r="106" spans="2:2" x14ac:dyDescent="0.3">
      <c r="B106" s="33" t="str">
        <f t="shared" si="2"/>
        <v/>
      </c>
    </row>
    <row r="107" spans="2:2" x14ac:dyDescent="0.3">
      <c r="B107" s="33" t="str">
        <f t="shared" si="2"/>
        <v/>
      </c>
    </row>
    <row r="108" spans="2:2" x14ac:dyDescent="0.3">
      <c r="B108" s="33" t="str">
        <f t="shared" si="2"/>
        <v/>
      </c>
    </row>
    <row r="109" spans="2:2" x14ac:dyDescent="0.3">
      <c r="B109" s="33" t="str">
        <f t="shared" si="2"/>
        <v/>
      </c>
    </row>
    <row r="110" spans="2:2" x14ac:dyDescent="0.3">
      <c r="B110" s="33" t="str">
        <f t="shared" si="2"/>
        <v/>
      </c>
    </row>
    <row r="111" spans="2:2" x14ac:dyDescent="0.3">
      <c r="B111" s="33" t="str">
        <f t="shared" si="2"/>
        <v/>
      </c>
    </row>
    <row r="112" spans="2:2" x14ac:dyDescent="0.3">
      <c r="B112" s="33" t="str">
        <f t="shared" si="2"/>
        <v/>
      </c>
    </row>
    <row r="113" spans="2:2" x14ac:dyDescent="0.3">
      <c r="B113" s="33" t="str">
        <f t="shared" si="2"/>
        <v/>
      </c>
    </row>
    <row r="114" spans="2:2" x14ac:dyDescent="0.3">
      <c r="B114" s="33" t="str">
        <f t="shared" si="2"/>
        <v/>
      </c>
    </row>
    <row r="115" spans="2:2" x14ac:dyDescent="0.3">
      <c r="B115" s="33" t="str">
        <f t="shared" ref="B115:B146" si="3">IF(C115="","",B114+1)</f>
        <v/>
      </c>
    </row>
    <row r="116" spans="2:2" x14ac:dyDescent="0.3">
      <c r="B116" s="33" t="str">
        <f t="shared" si="3"/>
        <v/>
      </c>
    </row>
    <row r="117" spans="2:2" x14ac:dyDescent="0.3">
      <c r="B117" s="33" t="str">
        <f t="shared" si="3"/>
        <v/>
      </c>
    </row>
    <row r="118" spans="2:2" x14ac:dyDescent="0.3">
      <c r="B118" s="33" t="str">
        <f t="shared" si="3"/>
        <v/>
      </c>
    </row>
    <row r="119" spans="2:2" x14ac:dyDescent="0.3">
      <c r="B119" s="33" t="str">
        <f t="shared" si="3"/>
        <v/>
      </c>
    </row>
    <row r="120" spans="2:2" x14ac:dyDescent="0.3">
      <c r="B120" s="33" t="str">
        <f t="shared" si="3"/>
        <v/>
      </c>
    </row>
    <row r="121" spans="2:2" x14ac:dyDescent="0.3">
      <c r="B121" s="33" t="str">
        <f t="shared" si="3"/>
        <v/>
      </c>
    </row>
    <row r="122" spans="2:2" x14ac:dyDescent="0.3">
      <c r="B122" s="33" t="str">
        <f t="shared" si="3"/>
        <v/>
      </c>
    </row>
    <row r="123" spans="2:2" x14ac:dyDescent="0.3">
      <c r="B123" s="33" t="str">
        <f t="shared" si="3"/>
        <v/>
      </c>
    </row>
    <row r="124" spans="2:2" x14ac:dyDescent="0.3">
      <c r="B124" s="33" t="str">
        <f t="shared" si="3"/>
        <v/>
      </c>
    </row>
    <row r="125" spans="2:2" x14ac:dyDescent="0.3">
      <c r="B125" s="33" t="str">
        <f t="shared" si="3"/>
        <v/>
      </c>
    </row>
    <row r="126" spans="2:2" x14ac:dyDescent="0.3">
      <c r="B126" s="33" t="str">
        <f t="shared" si="3"/>
        <v/>
      </c>
    </row>
    <row r="127" spans="2:2" x14ac:dyDescent="0.3">
      <c r="B127" s="33" t="str">
        <f t="shared" si="3"/>
        <v/>
      </c>
    </row>
    <row r="128" spans="2:2" x14ac:dyDescent="0.3">
      <c r="B128" s="33" t="str">
        <f t="shared" si="3"/>
        <v/>
      </c>
    </row>
    <row r="129" spans="2:2" x14ac:dyDescent="0.3">
      <c r="B129" s="33" t="str">
        <f t="shared" si="3"/>
        <v/>
      </c>
    </row>
    <row r="130" spans="2:2" x14ac:dyDescent="0.3">
      <c r="B130" s="33" t="str">
        <f t="shared" si="3"/>
        <v/>
      </c>
    </row>
    <row r="131" spans="2:2" x14ac:dyDescent="0.3">
      <c r="B131" s="33" t="str">
        <f t="shared" si="3"/>
        <v/>
      </c>
    </row>
    <row r="132" spans="2:2" x14ac:dyDescent="0.3">
      <c r="B132" s="33" t="str">
        <f t="shared" si="3"/>
        <v/>
      </c>
    </row>
    <row r="133" spans="2:2" x14ac:dyDescent="0.3">
      <c r="B133" s="33" t="str">
        <f t="shared" si="3"/>
        <v/>
      </c>
    </row>
    <row r="134" spans="2:2" x14ac:dyDescent="0.3">
      <c r="B134" s="33" t="str">
        <f t="shared" si="3"/>
        <v/>
      </c>
    </row>
    <row r="135" spans="2:2" x14ac:dyDescent="0.3">
      <c r="B135" s="33" t="str">
        <f t="shared" si="3"/>
        <v/>
      </c>
    </row>
    <row r="136" spans="2:2" x14ac:dyDescent="0.3">
      <c r="B136" s="33" t="str">
        <f t="shared" si="3"/>
        <v/>
      </c>
    </row>
    <row r="137" spans="2:2" x14ac:dyDescent="0.3">
      <c r="B137" s="33" t="str">
        <f t="shared" si="3"/>
        <v/>
      </c>
    </row>
    <row r="138" spans="2:2" x14ac:dyDescent="0.3">
      <c r="B138" s="33" t="str">
        <f t="shared" si="3"/>
        <v/>
      </c>
    </row>
    <row r="139" spans="2:2" x14ac:dyDescent="0.3">
      <c r="B139" s="33" t="str">
        <f t="shared" si="3"/>
        <v/>
      </c>
    </row>
    <row r="140" spans="2:2" x14ac:dyDescent="0.3">
      <c r="B140" s="33" t="str">
        <f t="shared" si="3"/>
        <v/>
      </c>
    </row>
  </sheetData>
  <autoFilter ref="C17:G17" xr:uid="{4C55C11C-1620-411A-9B2F-3F513CAF246A}">
    <sortState xmlns:xlrd2="http://schemas.microsoft.com/office/spreadsheetml/2017/richdata2" ref="C18:G140">
      <sortCondition ref="C17"/>
    </sortState>
  </autoFilter>
  <mergeCells count="102"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2026-05-04T14:18:45Z</dcterms:modified>
</cp:coreProperties>
</file>