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SoC_Design\Document\"/>
    </mc:Choice>
  </mc:AlternateContent>
  <xr:revisionPtr revIDLastSave="0" documentId="13_ncr:1_{6C9644CE-B4C7-46A8-9CB2-BE0B6BEBB16E}" xr6:coauthVersionLast="47" xr6:coauthVersionMax="47" xr10:uidLastSave="{00000000-0000-0000-0000-000000000000}"/>
  <bookViews>
    <workbookView xWindow="14295" yWindow="0" windowWidth="14610" windowHeight="15585" activeTab="1" xr2:uid="{813C5046-60F0-40FF-AAC7-48B46C31F73B}"/>
  </bookViews>
  <sheets>
    <sheet name="CPU" sheetId="1" r:id="rId1"/>
    <sheet name="정리용" sheetId="2" r:id="rId2"/>
  </sheets>
  <definedNames>
    <definedName name="_xlnm._FilterDatabase" localSheetId="0" hidden="1">CPU!$C$17:$G$17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13" i="2"/>
  <c r="H30" i="2"/>
  <c r="H46" i="2"/>
  <c r="H78" i="2"/>
  <c r="C4" i="2"/>
  <c r="E4" i="2" s="1"/>
  <c r="H4" i="2" s="1"/>
  <c r="D4" i="2"/>
  <c r="C5" i="2"/>
  <c r="E5" i="2" s="1"/>
  <c r="D5" i="2"/>
  <c r="C6" i="2"/>
  <c r="D6" i="2"/>
  <c r="C7" i="2"/>
  <c r="E7" i="2" s="1"/>
  <c r="H7" i="2" s="1"/>
  <c r="D7" i="2"/>
  <c r="C8" i="2"/>
  <c r="E8" i="2" s="1"/>
  <c r="H8" i="2" s="1"/>
  <c r="D8" i="2"/>
  <c r="C9" i="2"/>
  <c r="D9" i="2"/>
  <c r="C10" i="2"/>
  <c r="D10" i="2"/>
  <c r="E10" i="2" s="1"/>
  <c r="H10" i="2" s="1"/>
  <c r="C11" i="2"/>
  <c r="D11" i="2"/>
  <c r="C12" i="2"/>
  <c r="E12" i="2" s="1"/>
  <c r="H12" i="2" s="1"/>
  <c r="D12" i="2"/>
  <c r="C13" i="2"/>
  <c r="E13" i="2" s="1"/>
  <c r="D13" i="2"/>
  <c r="C14" i="2"/>
  <c r="D14" i="2"/>
  <c r="C15" i="2"/>
  <c r="D15" i="2"/>
  <c r="C16" i="2"/>
  <c r="E16" i="2" s="1"/>
  <c r="H16" i="2" s="1"/>
  <c r="D16" i="2"/>
  <c r="C17" i="2"/>
  <c r="D17" i="2"/>
  <c r="C18" i="2"/>
  <c r="D18" i="2"/>
  <c r="C19" i="2"/>
  <c r="D19" i="2"/>
  <c r="C20" i="2"/>
  <c r="D20" i="2"/>
  <c r="E20" i="2" s="1"/>
  <c r="H20" i="2" s="1"/>
  <c r="C21" i="2"/>
  <c r="D21" i="2"/>
  <c r="E21" i="2"/>
  <c r="H21" i="2" s="1"/>
  <c r="C22" i="2"/>
  <c r="D22" i="2"/>
  <c r="C23" i="2"/>
  <c r="E23" i="2" s="1"/>
  <c r="H23" i="2" s="1"/>
  <c r="D23" i="2"/>
  <c r="C24" i="2"/>
  <c r="E24" i="2" s="1"/>
  <c r="H24" i="2" s="1"/>
  <c r="D24" i="2"/>
  <c r="C25" i="2"/>
  <c r="D25" i="2"/>
  <c r="E25" i="2"/>
  <c r="H25" i="2" s="1"/>
  <c r="C26" i="2"/>
  <c r="E26" i="2" s="1"/>
  <c r="H26" i="2" s="1"/>
  <c r="D26" i="2"/>
  <c r="C27" i="2"/>
  <c r="D27" i="2"/>
  <c r="C28" i="2"/>
  <c r="D28" i="2"/>
  <c r="C29" i="2"/>
  <c r="D29" i="2"/>
  <c r="C30" i="2"/>
  <c r="E30" i="2" s="1"/>
  <c r="D30" i="2"/>
  <c r="C31" i="2"/>
  <c r="D31" i="2"/>
  <c r="C32" i="2"/>
  <c r="D32" i="2"/>
  <c r="E32" i="2"/>
  <c r="H32" i="2" s="1"/>
  <c r="C33" i="2"/>
  <c r="E33" i="2" s="1"/>
  <c r="H33" i="2" s="1"/>
  <c r="D33" i="2"/>
  <c r="C34" i="2"/>
  <c r="E34" i="2" s="1"/>
  <c r="H34" i="2" s="1"/>
  <c r="D34" i="2"/>
  <c r="C35" i="2"/>
  <c r="D35" i="2"/>
  <c r="C36" i="2"/>
  <c r="D36" i="2"/>
  <c r="E36" i="2" s="1"/>
  <c r="H36" i="2" s="1"/>
  <c r="C37" i="2"/>
  <c r="E37" i="2" s="1"/>
  <c r="H37" i="2" s="1"/>
  <c r="D37" i="2"/>
  <c r="C38" i="2"/>
  <c r="D38" i="2"/>
  <c r="C39" i="2"/>
  <c r="D39" i="2"/>
  <c r="C40" i="2"/>
  <c r="D40" i="2"/>
  <c r="C41" i="2"/>
  <c r="E41" i="2" s="1"/>
  <c r="H41" i="2" s="1"/>
  <c r="D41" i="2"/>
  <c r="C42" i="2"/>
  <c r="E42" i="2" s="1"/>
  <c r="H42" i="2" s="1"/>
  <c r="D42" i="2"/>
  <c r="C43" i="2"/>
  <c r="D43" i="2"/>
  <c r="C44" i="2"/>
  <c r="E44" i="2" s="1"/>
  <c r="H44" i="2" s="1"/>
  <c r="D44" i="2"/>
  <c r="C45" i="2"/>
  <c r="E45" i="2" s="1"/>
  <c r="H45" i="2" s="1"/>
  <c r="D45" i="2"/>
  <c r="C46" i="2"/>
  <c r="E46" i="2" s="1"/>
  <c r="D46" i="2"/>
  <c r="C47" i="2"/>
  <c r="D47" i="2"/>
  <c r="C48" i="2"/>
  <c r="E48" i="2" s="1"/>
  <c r="H48" i="2" s="1"/>
  <c r="D48" i="2"/>
  <c r="C49" i="2"/>
  <c r="D49" i="2"/>
  <c r="E49" i="2" s="1"/>
  <c r="H49" i="2" s="1"/>
  <c r="C50" i="2"/>
  <c r="D50" i="2"/>
  <c r="E50" i="2" s="1"/>
  <c r="H50" i="2" s="1"/>
  <c r="C51" i="2"/>
  <c r="D51" i="2"/>
  <c r="C52" i="2"/>
  <c r="D52" i="2"/>
  <c r="C53" i="2"/>
  <c r="D53" i="2"/>
  <c r="E53" i="2" s="1"/>
  <c r="H53" i="2" s="1"/>
  <c r="C54" i="2"/>
  <c r="D54" i="2"/>
  <c r="C55" i="2"/>
  <c r="E55" i="2" s="1"/>
  <c r="H55" i="2" s="1"/>
  <c r="D55" i="2"/>
  <c r="C56" i="2"/>
  <c r="E56" i="2" s="1"/>
  <c r="H56" i="2" s="1"/>
  <c r="D56" i="2"/>
  <c r="C57" i="2"/>
  <c r="D57" i="2"/>
  <c r="E57" i="2"/>
  <c r="H57" i="2" s="1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E64" i="2" s="1"/>
  <c r="H64" i="2" s="1"/>
  <c r="C65" i="2"/>
  <c r="D65" i="2"/>
  <c r="C66" i="2"/>
  <c r="D66" i="2"/>
  <c r="C67" i="2"/>
  <c r="D67" i="2"/>
  <c r="C68" i="2"/>
  <c r="D68" i="2"/>
  <c r="C69" i="2"/>
  <c r="D69" i="2"/>
  <c r="E69" i="2"/>
  <c r="H69" i="2" s="1"/>
  <c r="C70" i="2"/>
  <c r="D70" i="2"/>
  <c r="C71" i="2"/>
  <c r="D71" i="2"/>
  <c r="C72" i="2"/>
  <c r="D72" i="2"/>
  <c r="C73" i="2"/>
  <c r="E73" i="2" s="1"/>
  <c r="H73" i="2" s="1"/>
  <c r="D73" i="2"/>
  <c r="C74" i="2"/>
  <c r="E74" i="2" s="1"/>
  <c r="H74" i="2" s="1"/>
  <c r="D74" i="2"/>
  <c r="C75" i="2"/>
  <c r="D75" i="2"/>
  <c r="C76" i="2"/>
  <c r="D76" i="2"/>
  <c r="C77" i="2"/>
  <c r="E77" i="2" s="1"/>
  <c r="H77" i="2" s="1"/>
  <c r="D77" i="2"/>
  <c r="C78" i="2"/>
  <c r="E78" i="2" s="1"/>
  <c r="D78" i="2"/>
  <c r="C79" i="2"/>
  <c r="D79" i="2"/>
  <c r="C80" i="2"/>
  <c r="D80" i="2"/>
  <c r="E80" i="2"/>
  <c r="H80" i="2" s="1"/>
  <c r="C81" i="2"/>
  <c r="E81" i="2" s="1"/>
  <c r="H81" i="2" s="1"/>
  <c r="D81" i="2"/>
  <c r="C82" i="2"/>
  <c r="D82" i="2"/>
  <c r="E82" i="2" s="1"/>
  <c r="H82" i="2" s="1"/>
  <c r="C83" i="2"/>
  <c r="D83" i="2"/>
  <c r="C84" i="2"/>
  <c r="D84" i="2"/>
  <c r="E84" i="2" s="1"/>
  <c r="H84" i="2" s="1"/>
  <c r="D3" i="2"/>
  <c r="C3" i="2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18" i="1"/>
  <c r="E62" i="2" l="1"/>
  <c r="H62" i="2" s="1"/>
  <c r="E72" i="2"/>
  <c r="H72" i="2" s="1"/>
  <c r="E68" i="2"/>
  <c r="H68" i="2" s="1"/>
  <c r="E61" i="2"/>
  <c r="H61" i="2" s="1"/>
  <c r="E39" i="2"/>
  <c r="H39" i="2" s="1"/>
  <c r="E17" i="2"/>
  <c r="H17" i="2" s="1"/>
  <c r="E9" i="2"/>
  <c r="H9" i="2" s="1"/>
  <c r="E65" i="2"/>
  <c r="H65" i="2" s="1"/>
  <c r="E14" i="2"/>
  <c r="H14" i="2" s="1"/>
  <c r="E71" i="2"/>
  <c r="H71" i="2" s="1"/>
  <c r="E58" i="2"/>
  <c r="H58" i="2" s="1"/>
  <c r="E3" i="2"/>
  <c r="E52" i="2"/>
  <c r="H52" i="2" s="1"/>
  <c r="E40" i="2"/>
  <c r="H40" i="2" s="1"/>
  <c r="E29" i="2"/>
  <c r="H29" i="2" s="1"/>
  <c r="E18" i="2"/>
  <c r="H18" i="2" s="1"/>
  <c r="E66" i="2"/>
  <c r="H66" i="2" s="1"/>
  <c r="E6" i="2"/>
  <c r="H6" i="2" s="1"/>
  <c r="E19" i="2"/>
  <c r="H19" i="2" s="1"/>
  <c r="E76" i="2"/>
  <c r="H76" i="2" s="1"/>
  <c r="E70" i="2"/>
  <c r="H70" i="2" s="1"/>
  <c r="E60" i="2"/>
  <c r="H60" i="2" s="1"/>
  <c r="E54" i="2"/>
  <c r="H54" i="2" s="1"/>
  <c r="E38" i="2"/>
  <c r="H38" i="2" s="1"/>
  <c r="E28" i="2"/>
  <c r="H28" i="2" s="1"/>
  <c r="E22" i="2"/>
  <c r="H22" i="2" s="1"/>
  <c r="E35" i="2"/>
  <c r="H35" i="2" s="1"/>
  <c r="E83" i="2"/>
  <c r="H83" i="2" s="1"/>
  <c r="E79" i="2"/>
  <c r="H79" i="2" s="1"/>
  <c r="E63" i="2"/>
  <c r="H63" i="2" s="1"/>
  <c r="E47" i="2"/>
  <c r="H47" i="2" s="1"/>
  <c r="E31" i="2"/>
  <c r="H31" i="2" s="1"/>
  <c r="E15" i="2"/>
  <c r="H15" i="2" s="1"/>
  <c r="E67" i="2"/>
  <c r="H67" i="2" s="1"/>
  <c r="E51" i="2"/>
  <c r="H51" i="2" s="1"/>
  <c r="E75" i="2"/>
  <c r="H75" i="2" s="1"/>
  <c r="E59" i="2"/>
  <c r="H59" i="2" s="1"/>
  <c r="E43" i="2"/>
  <c r="H43" i="2" s="1"/>
  <c r="E27" i="2"/>
  <c r="H27" i="2" s="1"/>
  <c r="E11" i="2"/>
  <c r="H11" i="2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G4" i="2" l="1"/>
  <c r="G60" i="2"/>
  <c r="G84" i="2"/>
  <c r="G5" i="2"/>
  <c r="G13" i="2"/>
  <c r="G21" i="2"/>
  <c r="G29" i="2"/>
  <c r="G37" i="2"/>
  <c r="G45" i="2"/>
  <c r="G53" i="2"/>
  <c r="G61" i="2"/>
  <c r="G69" i="2"/>
  <c r="G77" i="2"/>
  <c r="G3" i="2"/>
  <c r="G35" i="2"/>
  <c r="G51" i="2"/>
  <c r="G75" i="2"/>
  <c r="G20" i="2"/>
  <c r="G52" i="2"/>
  <c r="G76" i="2"/>
  <c r="G6" i="2"/>
  <c r="G14" i="2"/>
  <c r="G22" i="2"/>
  <c r="G30" i="2"/>
  <c r="G38" i="2"/>
  <c r="G46" i="2"/>
  <c r="G54" i="2"/>
  <c r="G62" i="2"/>
  <c r="G70" i="2"/>
  <c r="G78" i="2"/>
  <c r="G19" i="2"/>
  <c r="G27" i="2"/>
  <c r="G43" i="2"/>
  <c r="G59" i="2"/>
  <c r="G83" i="2"/>
  <c r="G28" i="2"/>
  <c r="G44" i="2"/>
  <c r="G68" i="2"/>
  <c r="G7" i="2"/>
  <c r="G15" i="2"/>
  <c r="G23" i="2"/>
  <c r="G31" i="2"/>
  <c r="G39" i="2"/>
  <c r="G47" i="2"/>
  <c r="G55" i="2"/>
  <c r="G63" i="2"/>
  <c r="G71" i="2"/>
  <c r="G79" i="2"/>
  <c r="G40" i="2"/>
  <c r="G56" i="2"/>
  <c r="G64" i="2"/>
  <c r="G72" i="2"/>
  <c r="G80" i="2"/>
  <c r="G8" i="2"/>
  <c r="G16" i="2"/>
  <c r="G24" i="2"/>
  <c r="G32" i="2"/>
  <c r="G48" i="2"/>
  <c r="H3" i="2"/>
  <c r="G11" i="2"/>
  <c r="G9" i="2"/>
  <c r="G17" i="2"/>
  <c r="G25" i="2"/>
  <c r="G33" i="2"/>
  <c r="G41" i="2"/>
  <c r="G49" i="2"/>
  <c r="G57" i="2"/>
  <c r="G65" i="2"/>
  <c r="G73" i="2"/>
  <c r="G81" i="2"/>
  <c r="G10" i="2"/>
  <c r="G18" i="2"/>
  <c r="G26" i="2"/>
  <c r="G34" i="2"/>
  <c r="G42" i="2"/>
  <c r="G50" i="2"/>
  <c r="G58" i="2"/>
  <c r="G66" i="2"/>
  <c r="G74" i="2"/>
  <c r="G82" i="2"/>
  <c r="G67" i="2"/>
  <c r="G12" i="2"/>
  <c r="G36" i="2"/>
  <c r="B93" i="1" l="1"/>
  <c r="B94" i="1" s="1"/>
  <c r="B95" i="1" s="1"/>
  <c r="B96" i="1" s="1"/>
  <c r="B97" i="1" s="1"/>
  <c r="B98" i="1" s="1"/>
  <c r="B99" i="1" s="1"/>
</calcChain>
</file>

<file path=xl/sharedStrings.xml><?xml version="1.0" encoding="utf-8"?>
<sst xmlns="http://schemas.openxmlformats.org/spreadsheetml/2006/main" count="819" uniqueCount="366">
  <si>
    <t>top_cpu</t>
    <phoneticPr fontId="1" type="noConversion"/>
  </si>
  <si>
    <t>Signal</t>
    <phoneticPr fontId="1" type="noConversion"/>
  </si>
  <si>
    <t>Source</t>
    <phoneticPr fontId="1" type="noConversion"/>
  </si>
  <si>
    <t>Destination</t>
    <phoneticPr fontId="1" type="noConversion"/>
  </si>
  <si>
    <t>Bit</t>
    <phoneticPr fontId="1" type="noConversion"/>
  </si>
  <si>
    <t>clk</t>
    <phoneticPr fontId="1" type="noConversion"/>
  </si>
  <si>
    <t>rst_n</t>
    <phoneticPr fontId="1" type="noConversion"/>
  </si>
  <si>
    <t>TB</t>
    <phoneticPr fontId="1" type="noConversion"/>
  </si>
  <si>
    <t>Description</t>
    <phoneticPr fontId="1" type="noConversion"/>
  </si>
  <si>
    <t>Global</t>
    <phoneticPr fontId="1" type="noConversion"/>
  </si>
  <si>
    <t>i_i_mem_data</t>
    <phoneticPr fontId="1" type="noConversion"/>
  </si>
  <si>
    <t>o_i_mem_en</t>
    <phoneticPr fontId="1" type="noConversion"/>
  </si>
  <si>
    <t>o_i_mem_addr</t>
    <phoneticPr fontId="1" type="noConversion"/>
  </si>
  <si>
    <t>i_d_mem_data</t>
    <phoneticPr fontId="1" type="noConversion"/>
  </si>
  <si>
    <t>o_d_mem_en</t>
    <phoneticPr fontId="1" type="noConversion"/>
  </si>
  <si>
    <t>o_d_mem_wren</t>
    <phoneticPr fontId="1" type="noConversion"/>
  </si>
  <si>
    <t>o_d_mem_addr</t>
    <phoneticPr fontId="1" type="noConversion"/>
  </si>
  <si>
    <t>o_d_mem_data</t>
    <phoneticPr fontId="1" type="noConversion"/>
  </si>
  <si>
    <t>o_arbiter_req</t>
    <phoneticPr fontId="1" type="noConversion"/>
  </si>
  <si>
    <t>i_arbiter_gnt</t>
    <phoneticPr fontId="1" type="noConversion"/>
  </si>
  <si>
    <t>DATA_BIT</t>
    <phoneticPr fontId="1" type="noConversion"/>
  </si>
  <si>
    <t>ADDR_BIT</t>
    <phoneticPr fontId="1" type="noConversion"/>
  </si>
  <si>
    <t>I_MEM</t>
    <phoneticPr fontId="1" type="noConversion"/>
  </si>
  <si>
    <t>CPU</t>
    <phoneticPr fontId="1" type="noConversion"/>
  </si>
  <si>
    <t>D-MEM</t>
    <phoneticPr fontId="1" type="noConversion"/>
  </si>
  <si>
    <t>ARBITER</t>
    <phoneticPr fontId="1" type="noConversion"/>
  </si>
  <si>
    <t>from I-MEM</t>
    <phoneticPr fontId="1" type="noConversion"/>
  </si>
  <si>
    <t>to I-MEM</t>
    <phoneticPr fontId="1" type="noConversion"/>
  </si>
  <si>
    <t>from D-MEM</t>
    <phoneticPr fontId="1" type="noConversion"/>
  </si>
  <si>
    <t>to D-MEM</t>
    <phoneticPr fontId="1" type="noConversion"/>
  </si>
  <si>
    <t>to Arbiter</t>
    <phoneticPr fontId="1" type="noConversion"/>
  </si>
  <si>
    <t>from Arbiter</t>
    <phoneticPr fontId="1" type="noConversion"/>
  </si>
  <si>
    <t>wire</t>
    <phoneticPr fontId="1" type="noConversion"/>
  </si>
  <si>
    <t>SRC</t>
    <phoneticPr fontId="1" type="noConversion"/>
  </si>
  <si>
    <t>DST</t>
    <phoneticPr fontId="1" type="noConversion"/>
  </si>
  <si>
    <t>u_pc</t>
    <phoneticPr fontId="1" type="noConversion"/>
  </si>
  <si>
    <t>u_jump_mux</t>
    <phoneticPr fontId="1" type="noConversion"/>
  </si>
  <si>
    <t>I-MEM ADDR</t>
    <phoneticPr fontId="1" type="noConversion"/>
  </si>
  <si>
    <t>I-MEM Enable</t>
    <phoneticPr fontId="1" type="noConversion"/>
  </si>
  <si>
    <t>u_addr_4_adder</t>
    <phoneticPr fontId="1" type="noConversion"/>
  </si>
  <si>
    <t>u_branch_addr_adder</t>
    <phoneticPr fontId="1" type="noConversion"/>
  </si>
  <si>
    <t>No</t>
    <phoneticPr fontId="1" type="noConversion"/>
  </si>
  <si>
    <t>u_shift_left_jump</t>
    <phoneticPr fontId="1" type="noConversion"/>
  </si>
  <si>
    <t>u_sign_extend</t>
    <phoneticPr fontId="1" type="noConversion"/>
  </si>
  <si>
    <t>u_inst_decoder</t>
    <phoneticPr fontId="1" type="noConversion"/>
  </si>
  <si>
    <t>DATA_BIT - OPCODE_BIT</t>
    <phoneticPr fontId="1" type="noConversion"/>
  </si>
  <si>
    <t>DATA_BIT - OPCODE_BIT + 2</t>
    <phoneticPr fontId="1" type="noConversion"/>
  </si>
  <si>
    <t>u_shift_left_branch</t>
    <phoneticPr fontId="1" type="noConversion"/>
  </si>
  <si>
    <t>u_shift_left_branch
u_alusrc_mux</t>
    <phoneticPr fontId="1" type="noConversion"/>
  </si>
  <si>
    <t>DATA_BIT + 2</t>
    <phoneticPr fontId="1" type="noConversion"/>
  </si>
  <si>
    <t>Decoded Jump ADDR</t>
    <phoneticPr fontId="1" type="noConversion"/>
  </si>
  <si>
    <t>Decoded Jump ADDR &gt;&gt; 2</t>
    <phoneticPr fontId="1" type="noConversion"/>
  </si>
  <si>
    <t>Standard Bit of Branch ADDR</t>
    <phoneticPr fontId="1" type="noConversion"/>
  </si>
  <si>
    <t>u_branch_mux</t>
    <phoneticPr fontId="1" type="noConversion"/>
  </si>
  <si>
    <t>Sign-Extend Constant &gt;&gt; 2 (Bit Extend)</t>
    <phoneticPr fontId="1" type="noConversion"/>
  </si>
  <si>
    <t>OPCODE_BIT</t>
    <phoneticPr fontId="1" type="noConversion"/>
  </si>
  <si>
    <t>REG_BIT</t>
    <phoneticPr fontId="1" type="noConversion"/>
  </si>
  <si>
    <t>(DATA_BIT)/2</t>
    <phoneticPr fontId="1" type="noConversion"/>
  </si>
  <si>
    <t>u_control_unit</t>
    <phoneticPr fontId="1" type="noConversion"/>
  </si>
  <si>
    <t>Decoded OPCODE</t>
    <phoneticPr fontId="1" type="noConversion"/>
  </si>
  <si>
    <t>Decoded Shamt</t>
    <phoneticPr fontId="1" type="noConversion"/>
  </si>
  <si>
    <t>Decoded Constant</t>
    <phoneticPr fontId="1" type="noConversion"/>
  </si>
  <si>
    <t>u_registers</t>
    <phoneticPr fontId="1" type="noConversion"/>
  </si>
  <si>
    <t>u_registers
u_regdst_mux</t>
    <phoneticPr fontId="1" type="noConversion"/>
  </si>
  <si>
    <t>u_regdst_mux</t>
    <phoneticPr fontId="1" type="noConversion"/>
  </si>
  <si>
    <t>-</t>
    <phoneticPr fontId="1" type="noConversion"/>
  </si>
  <si>
    <t>u_alu_control</t>
    <phoneticPr fontId="1" type="noConversion"/>
  </si>
  <si>
    <t>RegDst Flag</t>
    <phoneticPr fontId="1" type="noConversion"/>
  </si>
  <si>
    <t>RegWrite Flag</t>
  </si>
  <si>
    <t>MemRead Flag</t>
  </si>
  <si>
    <t>MemWrite Flag</t>
  </si>
  <si>
    <t>Branch Flag</t>
    <phoneticPr fontId="1" type="noConversion"/>
  </si>
  <si>
    <t>Jump Flag</t>
    <phoneticPr fontId="1" type="noConversion"/>
  </si>
  <si>
    <t>SignExtend Flag (Zero or Sign)</t>
    <phoneticPr fontId="1" type="noConversion"/>
  </si>
  <si>
    <t>o_d_mem_en
o_d_mem_wren</t>
    <phoneticPr fontId="1" type="noConversion"/>
  </si>
  <si>
    <r>
      <t xml:space="preserve">u_addr_4_addr
</t>
    </r>
    <r>
      <rPr>
        <b/>
        <sz val="11"/>
        <color theme="1"/>
        <rFont val="맑은 고딕"/>
        <family val="3"/>
        <charset val="129"/>
        <scheme val="minor"/>
      </rPr>
      <t>o_i_mem_addr</t>
    </r>
    <phoneticPr fontId="1" type="noConversion"/>
  </si>
  <si>
    <t>u_alu_ctr</t>
    <phoneticPr fontId="1" type="noConversion"/>
  </si>
  <si>
    <t>u_alu
u_mul_div_unit</t>
    <phoneticPr fontId="1" type="noConversion"/>
  </si>
  <si>
    <t>ALUOpB</t>
    <phoneticPr fontId="1" type="noConversion"/>
  </si>
  <si>
    <t>ALUOpA</t>
    <phoneticPr fontId="1" type="noConversion"/>
  </si>
  <si>
    <t>u_alu</t>
    <phoneticPr fontId="1" type="noConversion"/>
  </si>
  <si>
    <t>u_alusrc_mux</t>
    <phoneticPr fontId="1" type="noConversion"/>
  </si>
  <si>
    <t>u_memtoreg_mux</t>
    <phoneticPr fontId="1" type="noConversion"/>
  </si>
  <si>
    <t>Registers RDATA2 or Sign-Extend Constant</t>
    <phoneticPr fontId="1" type="noConversion"/>
  </si>
  <si>
    <t>ALU Output</t>
    <phoneticPr fontId="1" type="noConversion"/>
  </si>
  <si>
    <t>ALU Carry Out</t>
    <phoneticPr fontId="1" type="noConversion"/>
  </si>
  <si>
    <t>ALU Zero Out</t>
    <phoneticPr fontId="1" type="noConversion"/>
  </si>
  <si>
    <t>u_mul_div_unit</t>
    <phoneticPr fontId="1" type="noConversion"/>
  </si>
  <si>
    <t>HIGH Register in MUL/DIV Unit</t>
    <phoneticPr fontId="1" type="noConversion"/>
  </si>
  <si>
    <t>LOW Register in MUL/DIV Unit</t>
    <phoneticPr fontId="1" type="noConversion"/>
  </si>
  <si>
    <t>PC ADDR + 4 or Branch ADDR</t>
    <phoneticPr fontId="1" type="noConversion"/>
  </si>
  <si>
    <t>Control Input of Branch MUX</t>
    <phoneticPr fontId="1" type="noConversion"/>
  </si>
  <si>
    <t>Port</t>
    <phoneticPr fontId="1" type="noConversion"/>
  </si>
  <si>
    <t>input</t>
    <phoneticPr fontId="1" type="noConversion"/>
  </si>
  <si>
    <t>output</t>
    <phoneticPr fontId="1" type="noConversion"/>
  </si>
  <si>
    <t>i_i0</t>
    <phoneticPr fontId="1" type="noConversion"/>
  </si>
  <si>
    <t>i_i1</t>
    <phoneticPr fontId="1" type="noConversion"/>
  </si>
  <si>
    <t>o_o</t>
    <phoneticPr fontId="1" type="noConversion"/>
  </si>
  <si>
    <t>adder21</t>
    <phoneticPr fontId="1" type="noConversion"/>
  </si>
  <si>
    <t>Parameter</t>
    <phoneticPr fontId="1" type="noConversion"/>
  </si>
  <si>
    <t>Input 0</t>
    <phoneticPr fontId="1" type="noConversion"/>
  </si>
  <si>
    <t>Input 1</t>
    <phoneticPr fontId="1" type="noConversion"/>
  </si>
  <si>
    <t>Output</t>
    <phoneticPr fontId="1" type="noConversion"/>
  </si>
  <si>
    <t>ADDR Adder</t>
    <phoneticPr fontId="1" type="noConversion"/>
  </si>
  <si>
    <t>module</t>
    <phoneticPr fontId="1" type="noConversion"/>
  </si>
  <si>
    <t>alu</t>
    <phoneticPr fontId="1" type="noConversion"/>
  </si>
  <si>
    <t>Instance</t>
    <phoneticPr fontId="1" type="noConversion"/>
  </si>
  <si>
    <t>u_addr_4_adder, u_branch_addr_adder</t>
    <phoneticPr fontId="1" type="noConversion"/>
  </si>
  <si>
    <t>include</t>
    <phoneticPr fontId="1" type="noConversion"/>
  </si>
  <si>
    <t>instruction.svh</t>
    <phoneticPr fontId="1" type="noConversion"/>
  </si>
  <si>
    <t>file</t>
    <phoneticPr fontId="1" type="noConversion"/>
  </si>
  <si>
    <t>adder.sv</t>
    <phoneticPr fontId="1" type="noConversion"/>
  </si>
  <si>
    <t>alu.sv</t>
    <phoneticPr fontId="1" type="noConversion"/>
  </si>
  <si>
    <t>i_in0</t>
    <phoneticPr fontId="1" type="noConversion"/>
  </si>
  <si>
    <t>i_in1</t>
    <phoneticPr fontId="1" type="noConversion"/>
  </si>
  <si>
    <t>i_carry</t>
    <phoneticPr fontId="1" type="noConversion"/>
  </si>
  <si>
    <t>i_aluop</t>
    <phoneticPr fontId="1" type="noConversion"/>
  </si>
  <si>
    <t>o_out</t>
    <phoneticPr fontId="1" type="noConversion"/>
  </si>
  <si>
    <t>o_carry</t>
    <phoneticPr fontId="1" type="noConversion"/>
  </si>
  <si>
    <t>o_zero</t>
    <phoneticPr fontId="1" type="noConversion"/>
  </si>
  <si>
    <t>ALU Input 0</t>
    <phoneticPr fontId="1" type="noConversion"/>
  </si>
  <si>
    <t>ALU Input 1</t>
    <phoneticPr fontId="1" type="noConversion"/>
  </si>
  <si>
    <t>Carry In</t>
    <phoneticPr fontId="1" type="noConversion"/>
  </si>
  <si>
    <t>Carry Out</t>
    <phoneticPr fontId="1" type="noConversion"/>
  </si>
  <si>
    <t>alu_ctr</t>
    <phoneticPr fontId="1" type="noConversion"/>
  </si>
  <si>
    <t>alu_ctr.sv</t>
    <phoneticPr fontId="1" type="noConversion"/>
  </si>
  <si>
    <t>Arithmetic Logic Unit</t>
    <phoneticPr fontId="1" type="noConversion"/>
  </si>
  <si>
    <t>ALU Control Unit</t>
    <phoneticPr fontId="1" type="noConversion"/>
  </si>
  <si>
    <t>i_funct</t>
    <phoneticPr fontId="1" type="noConversion"/>
  </si>
  <si>
    <t>o_aluop</t>
    <phoneticPr fontId="1" type="noConversion"/>
  </si>
  <si>
    <t>FUNCT CODE</t>
    <phoneticPr fontId="1" type="noConversion"/>
  </si>
  <si>
    <t>ctr_unit</t>
    <phoneticPr fontId="1" type="noConversion"/>
  </si>
  <si>
    <t>ctr_unit.sv</t>
    <phoneticPr fontId="1" type="noConversion"/>
  </si>
  <si>
    <t>Control Unit</t>
    <phoneticPr fontId="1" type="noConversion"/>
  </si>
  <si>
    <t>ADDR WIDTH (1~32 Bit)</t>
    <phoneticPr fontId="1" type="noConversion"/>
  </si>
  <si>
    <t>DATA_WIDTH {16Bit CPU : 16, 32Bit CPU : 32}</t>
    <phoneticPr fontId="1" type="noConversion"/>
  </si>
  <si>
    <t>OCPODE_WIDTH 
{16Bit CPU : 4, 32Bit CPU : 6}</t>
    <phoneticPr fontId="1" type="noConversion"/>
  </si>
  <si>
    <t>i_opcode</t>
    <phoneticPr fontId="1" type="noConversion"/>
  </si>
  <si>
    <t>o_regdst</t>
    <phoneticPr fontId="1" type="noConversion"/>
  </si>
  <si>
    <t>o_alusrc</t>
    <phoneticPr fontId="1" type="noConversion"/>
  </si>
  <si>
    <t>o_memtoreg</t>
    <phoneticPr fontId="1" type="noConversion"/>
  </si>
  <si>
    <t>o_regwrite</t>
    <phoneticPr fontId="1" type="noConversion"/>
  </si>
  <si>
    <t>o_memread</t>
    <phoneticPr fontId="1" type="noConversion"/>
  </si>
  <si>
    <t>o_memwrite</t>
    <phoneticPr fontId="1" type="noConversion"/>
  </si>
  <si>
    <t>o_branch</t>
    <phoneticPr fontId="1" type="noConversion"/>
  </si>
  <si>
    <t>o_jump</t>
    <phoneticPr fontId="1" type="noConversion"/>
  </si>
  <si>
    <t>o_sign_extend</t>
    <phoneticPr fontId="1" type="noConversion"/>
  </si>
  <si>
    <t>AluSrc Flag</t>
    <phoneticPr fontId="1" type="noConversion"/>
  </si>
  <si>
    <t>MemToreg Flag</t>
  </si>
  <si>
    <t>Request to Arbiter</t>
    <phoneticPr fontId="1" type="noConversion"/>
  </si>
  <si>
    <t>Grant from Arbiter</t>
    <phoneticPr fontId="1" type="noConversion"/>
  </si>
  <si>
    <t>if_id</t>
    <phoneticPr fontId="1" type="noConversion"/>
  </si>
  <si>
    <t>IF-ID  PipeLine  Register</t>
    <phoneticPr fontId="1" type="noConversion"/>
  </si>
  <si>
    <t>i_pc_add4_addr</t>
    <phoneticPr fontId="1" type="noConversion"/>
  </si>
  <si>
    <t>o_pc_add4_addr</t>
    <phoneticPr fontId="1" type="noConversion"/>
  </si>
  <si>
    <t>o_i_mem_data</t>
    <phoneticPr fontId="1" type="noConversion"/>
  </si>
  <si>
    <t>clock</t>
    <phoneticPr fontId="1" type="noConversion"/>
  </si>
  <si>
    <t>negative reset</t>
    <phoneticPr fontId="1" type="noConversion"/>
  </si>
  <si>
    <t>from PC+4 ADDER</t>
    <phoneticPr fontId="1" type="noConversion"/>
  </si>
  <si>
    <t>to ID_EX</t>
    <phoneticPr fontId="1" type="noConversion"/>
  </si>
  <si>
    <t>to I-Decoder</t>
    <phoneticPr fontId="1" type="noConversion"/>
  </si>
  <si>
    <t>id_ex</t>
    <phoneticPr fontId="1" type="noConversion"/>
  </si>
  <si>
    <t>ID-EX  PipeLine  Register</t>
    <phoneticPr fontId="1" type="noConversion"/>
  </si>
  <si>
    <t>from IF_ID</t>
    <phoneticPr fontId="1" type="noConversion"/>
  </si>
  <si>
    <t>i_regs_rdata1</t>
    <phoneticPr fontId="1" type="noConversion"/>
  </si>
  <si>
    <t>i_regs_rdata2</t>
    <phoneticPr fontId="1" type="noConversion"/>
  </si>
  <si>
    <t>i_sign_extend</t>
    <phoneticPr fontId="1" type="noConversion"/>
  </si>
  <si>
    <t>o_regs_rdata1</t>
    <phoneticPr fontId="1" type="noConversion"/>
  </si>
  <si>
    <t>o_regs_rdata2</t>
    <phoneticPr fontId="1" type="noConversion"/>
  </si>
  <si>
    <t>to ?? Adder</t>
    <phoneticPr fontId="1" type="noConversion"/>
  </si>
  <si>
    <t>from Registers</t>
    <phoneticPr fontId="1" type="noConversion"/>
  </si>
  <si>
    <t>from Sign-Extend Unit</t>
    <phoneticPr fontId="1" type="noConversion"/>
  </si>
  <si>
    <t>to ALU</t>
    <phoneticPr fontId="1" type="noConversion"/>
  </si>
  <si>
    <t>to ALUSrc MUX &amp; EX_MEM</t>
    <phoneticPr fontId="1" type="noConversion"/>
  </si>
  <si>
    <t>to ALUSrc MUX &amp; Branch Shift Left 2</t>
    <phoneticPr fontId="1" type="noConversion"/>
  </si>
  <si>
    <t>ex_mem</t>
    <phoneticPr fontId="1" type="noConversion"/>
  </si>
  <si>
    <t>EX-MEM  PipeLine  Register</t>
    <phoneticPr fontId="1" type="noConversion"/>
  </si>
  <si>
    <t>i_branch_addr</t>
    <phoneticPr fontId="1" type="noConversion"/>
  </si>
  <si>
    <t>i_zero</t>
    <phoneticPr fontId="1" type="noConversion"/>
  </si>
  <si>
    <t>i_alu_out</t>
    <phoneticPr fontId="1" type="noConversion"/>
  </si>
  <si>
    <t>o_branch_addr</t>
    <phoneticPr fontId="1" type="noConversion"/>
  </si>
  <si>
    <t>o_alu_out</t>
    <phoneticPr fontId="1" type="noConversion"/>
  </si>
  <si>
    <t>from Branch Adder</t>
    <phoneticPr fontId="1" type="noConversion"/>
  </si>
  <si>
    <t>from ALU</t>
    <phoneticPr fontId="1" type="noConversion"/>
  </si>
  <si>
    <t>to Jump MUX ([Warning] Hazard)</t>
    <phoneticPr fontId="1" type="noConversion"/>
  </si>
  <si>
    <t>Not Used ??</t>
    <phoneticPr fontId="1" type="noConversion"/>
  </si>
  <si>
    <t>mem_wb</t>
    <phoneticPr fontId="1" type="noConversion"/>
  </si>
  <si>
    <t>MEM-WB  PipeLine  Register</t>
    <phoneticPr fontId="1" type="noConversion"/>
  </si>
  <si>
    <t>i_d_mem_rdata</t>
    <phoneticPr fontId="1" type="noConversion"/>
  </si>
  <si>
    <t>o_d_mem_rdata</t>
    <phoneticPr fontId="1" type="noConversion"/>
  </si>
  <si>
    <t>to MemtoReg MUX Input (1)</t>
    <phoneticPr fontId="1" type="noConversion"/>
  </si>
  <si>
    <t>to MemtoReg MUX Input (0)</t>
    <phoneticPr fontId="1" type="noConversion"/>
  </si>
  <si>
    <t>w_if_add4_addr</t>
    <phoneticPr fontId="1" type="noConversion"/>
  </si>
  <si>
    <t>PC ADDR + 4 (IF)</t>
    <phoneticPr fontId="1" type="noConversion"/>
  </si>
  <si>
    <t>w_i_mem_data</t>
    <phoneticPr fontId="1" type="noConversion"/>
  </si>
  <si>
    <t>I-MEM DATA</t>
    <phoneticPr fontId="1" type="noConversion"/>
  </si>
  <si>
    <t>PC ADDR + 4 (ID)</t>
    <phoneticPr fontId="1" type="noConversion"/>
  </si>
  <si>
    <t>w_ex_add4_addr</t>
    <phoneticPr fontId="1" type="noConversion"/>
  </si>
  <si>
    <t>w_id_add4_addr</t>
    <phoneticPr fontId="1" type="noConversion"/>
  </si>
  <si>
    <t>PC ADDR + 4 (EX)</t>
    <phoneticPr fontId="1" type="noConversion"/>
  </si>
  <si>
    <t>w_id_aluop</t>
    <phoneticPr fontId="1" type="noConversion"/>
  </si>
  <si>
    <t>w_id_ctr_regdst</t>
    <phoneticPr fontId="1" type="noConversion"/>
  </si>
  <si>
    <t>w_id_ctr_alusrc</t>
    <phoneticPr fontId="1" type="noConversion"/>
  </si>
  <si>
    <t>w_id_memtoreg</t>
    <phoneticPr fontId="1" type="noConversion"/>
  </si>
  <si>
    <t>w_id_regwrite</t>
    <phoneticPr fontId="1" type="noConversion"/>
  </si>
  <si>
    <t>w_id_memread</t>
    <phoneticPr fontId="1" type="noConversion"/>
  </si>
  <si>
    <t>w_id_memwrite</t>
    <phoneticPr fontId="1" type="noConversion"/>
  </si>
  <si>
    <t>w_id_branch</t>
    <phoneticPr fontId="1" type="noConversion"/>
  </si>
  <si>
    <t>w_id_ctr_jump</t>
    <phoneticPr fontId="1" type="noConversion"/>
  </si>
  <si>
    <t>w_id_sign_extend</t>
    <phoneticPr fontId="1" type="noConversion"/>
  </si>
  <si>
    <t>w_id_reg_rdata1</t>
    <phoneticPr fontId="1" type="noConversion"/>
  </si>
  <si>
    <t>w_id_reg_rdata2</t>
    <phoneticPr fontId="1" type="noConversion"/>
  </si>
  <si>
    <t>Registers RDATA1 (ID)</t>
    <phoneticPr fontId="1" type="noConversion"/>
  </si>
  <si>
    <t>Registers RDATA2 (ID)</t>
    <phoneticPr fontId="1" type="noConversion"/>
  </si>
  <si>
    <t>ALUOpA (ID)</t>
    <phoneticPr fontId="1" type="noConversion"/>
  </si>
  <si>
    <t>RegDst Flag (ID)</t>
    <phoneticPr fontId="1" type="noConversion"/>
  </si>
  <si>
    <t>ALUSrc Flag (ID)</t>
    <phoneticPr fontId="1" type="noConversion"/>
  </si>
  <si>
    <t>MemtoReg Flag (ID)</t>
    <phoneticPr fontId="1" type="noConversion"/>
  </si>
  <si>
    <t>RegWrite Flag (ID)</t>
    <phoneticPr fontId="1" type="noConversion"/>
  </si>
  <si>
    <t>MemRead Flag (ID)</t>
    <phoneticPr fontId="1" type="noConversion"/>
  </si>
  <si>
    <t>MemWrite Flag (ID)</t>
    <phoneticPr fontId="1" type="noConversion"/>
  </si>
  <si>
    <t>Branch Flag (ID)</t>
    <phoneticPr fontId="1" type="noConversion"/>
  </si>
  <si>
    <t>Jump Flag (ID)</t>
    <phoneticPr fontId="1" type="noConversion"/>
  </si>
  <si>
    <t>SignExtend Flag (Zero or Sign) (ID)</t>
    <phoneticPr fontId="1" type="noConversion"/>
  </si>
  <si>
    <t>w_ex_reg_rdata1</t>
    <phoneticPr fontId="1" type="noConversion"/>
  </si>
  <si>
    <t>w_ex_reg_rdata2</t>
    <phoneticPr fontId="1" type="noConversion"/>
  </si>
  <si>
    <t>Registers RDATA1 (EX)</t>
    <phoneticPr fontId="1" type="noConversion"/>
  </si>
  <si>
    <t>Registers RDATA2 (EX)</t>
    <phoneticPr fontId="1" type="noConversion"/>
  </si>
  <si>
    <t>w_ex_sign_extend_const</t>
    <phoneticPr fontId="1" type="noConversion"/>
  </si>
  <si>
    <t>Sign-Extend Constant (ID)</t>
    <phoneticPr fontId="1" type="noConversion"/>
  </si>
  <si>
    <t>Sign-Extend Constant (EX)</t>
    <phoneticPr fontId="1" type="noConversion"/>
  </si>
  <si>
    <t>w_id_sign_extend_const</t>
    <phoneticPr fontId="1" type="noConversion"/>
  </si>
  <si>
    <t>w_ex_ctr_alusrc</t>
    <phoneticPr fontId="1" type="noConversion"/>
  </si>
  <si>
    <t>ALUSrc Flag (EX)</t>
    <phoneticPr fontId="1" type="noConversion"/>
  </si>
  <si>
    <t>w_id_jump_addr</t>
    <phoneticPr fontId="1" type="noConversion"/>
  </si>
  <si>
    <t>Jump ADDR (ID)</t>
    <phoneticPr fontId="1" type="noConversion"/>
  </si>
  <si>
    <t>w_ex_jump_addr</t>
    <phoneticPr fontId="1" type="noConversion"/>
  </si>
  <si>
    <t>Jump ADDR (EX)</t>
    <phoneticPr fontId="1" type="noConversion"/>
  </si>
  <si>
    <t>Branch ADDR (EX)</t>
    <phoneticPr fontId="1" type="noConversion"/>
  </si>
  <si>
    <t>bridge.sv</t>
  </si>
  <si>
    <t>u_id_ex_bridge</t>
  </si>
  <si>
    <t>u_if_id_bridge</t>
  </si>
  <si>
    <t>u_if_id_bridge</t>
    <phoneticPr fontId="1" type="noConversion"/>
  </si>
  <si>
    <t>u_id_ex_bridge</t>
    <phoneticPr fontId="1" type="noConversion"/>
  </si>
  <si>
    <t>u_ex_mem_bridge</t>
    <phoneticPr fontId="1" type="noConversion"/>
  </si>
  <si>
    <t>u_mem_wb_bridge</t>
    <phoneticPr fontId="1" type="noConversion"/>
  </si>
  <si>
    <t>w_id_dec_funct</t>
    <phoneticPr fontId="1" type="noConversion"/>
  </si>
  <si>
    <t>Decoded FUNCT CODE (ID)</t>
    <phoneticPr fontId="1" type="noConversion"/>
  </si>
  <si>
    <t>w_ex_dec_funct</t>
    <phoneticPr fontId="1" type="noConversion"/>
  </si>
  <si>
    <t>Decoded FUNCT CODE (EX)</t>
    <phoneticPr fontId="1" type="noConversion"/>
  </si>
  <si>
    <t>w_ex_aluop</t>
    <phoneticPr fontId="1" type="noConversion"/>
  </si>
  <si>
    <t>ALUOpA (EX)</t>
    <phoneticPr fontId="1" type="noConversion"/>
  </si>
  <si>
    <t>w_ex_memread</t>
    <phoneticPr fontId="1" type="noConversion"/>
  </si>
  <si>
    <t>w_ex_memwrite</t>
    <phoneticPr fontId="1" type="noConversion"/>
  </si>
  <si>
    <t>MemRead Flag (EX)</t>
    <phoneticPr fontId="1" type="noConversion"/>
  </si>
  <si>
    <t>MemWrite Flag (EX)</t>
    <phoneticPr fontId="1" type="noConversion"/>
  </si>
  <si>
    <t>w_mem_memread</t>
    <phoneticPr fontId="1" type="noConversion"/>
  </si>
  <si>
    <t>w_mem_memwrite</t>
    <phoneticPr fontId="1" type="noConversion"/>
  </si>
  <si>
    <t>MemRead Flag (MEM)</t>
    <phoneticPr fontId="1" type="noConversion"/>
  </si>
  <si>
    <t>MemWrite Flag (MEM)</t>
    <phoneticPr fontId="1" type="noConversion"/>
  </si>
  <si>
    <t>u_id_ex_bridge
w_id_jump_addr</t>
    <phoneticPr fontId="1" type="noConversion"/>
  </si>
  <si>
    <t>u_branch_addr_adder
u_branch_mux</t>
    <phoneticPr fontId="1" type="noConversion"/>
  </si>
  <si>
    <t>w_mem_alu_out</t>
    <phoneticPr fontId="1" type="noConversion"/>
  </si>
  <si>
    <t>w_ex_alu_out</t>
    <phoneticPr fontId="1" type="noConversion"/>
  </si>
  <si>
    <t>ALU Output (EX)</t>
    <phoneticPr fontId="1" type="noConversion"/>
  </si>
  <si>
    <t>ALU Output (MEM)</t>
    <phoneticPr fontId="1" type="noConversion"/>
  </si>
  <si>
    <t>u_alusrc_mux
u_ex_mem_bridge</t>
    <phoneticPr fontId="1" type="noConversion"/>
  </si>
  <si>
    <t>w_mem_reg_rdata2</t>
    <phoneticPr fontId="1" type="noConversion"/>
  </si>
  <si>
    <t>Registers RDATA2 (MEM)</t>
    <phoneticPr fontId="1" type="noConversion"/>
  </si>
  <si>
    <t>w_ex_branch</t>
    <phoneticPr fontId="1" type="noConversion"/>
  </si>
  <si>
    <t>Branch Flag (EX)</t>
    <phoneticPr fontId="1" type="noConversion"/>
  </si>
  <si>
    <t>w_ex_ctr_jump</t>
    <phoneticPr fontId="1" type="noConversion"/>
  </si>
  <si>
    <t>Jump Flag (EX)</t>
    <phoneticPr fontId="1" type="noConversion"/>
  </si>
  <si>
    <t>w_ex_memtoreg</t>
    <phoneticPr fontId="1" type="noConversion"/>
  </si>
  <si>
    <t>w_mem_memtoreg</t>
    <phoneticPr fontId="1" type="noConversion"/>
  </si>
  <si>
    <t>w_wb_memtoreg</t>
    <phoneticPr fontId="1" type="noConversion"/>
  </si>
  <si>
    <t>MemtoReg Flag (EX)</t>
    <phoneticPr fontId="1" type="noConversion"/>
  </si>
  <si>
    <t>MemtoReg Flag (MEM)</t>
    <phoneticPr fontId="1" type="noConversion"/>
  </si>
  <si>
    <t>MemtoReg Flag (WB)</t>
    <phoneticPr fontId="1" type="noConversion"/>
  </si>
  <si>
    <t>w_wb_alu_out</t>
    <phoneticPr fontId="1" type="noConversion"/>
  </si>
  <si>
    <t>ALU Output (WB)</t>
    <phoneticPr fontId="1" type="noConversion"/>
  </si>
  <si>
    <t>w_ex_jump_mux_addr</t>
    <phoneticPr fontId="1" type="noConversion"/>
  </si>
  <si>
    <t>Branch ADDR or Jump ADDR ([Warning] Hazard)</t>
    <phoneticPr fontId="1" type="noConversion"/>
  </si>
  <si>
    <t>w_id_dec_jaddr</t>
  </si>
  <si>
    <t>w_if_i_mem_addr</t>
    <phoneticPr fontId="1" type="noConversion"/>
  </si>
  <si>
    <t>w_if_i_mem_en</t>
    <phoneticPr fontId="1" type="noConversion"/>
  </si>
  <si>
    <t>w_id_shift_left2_dec_jaddr</t>
  </si>
  <si>
    <t>w_id_add4_addr
w_id_shift_left2_dec_jaddr</t>
    <phoneticPr fontId="1" type="noConversion"/>
  </si>
  <si>
    <t>w_ex_shift_left2_sign_extend_const</t>
  </si>
  <si>
    <t>w_ex_sign_extend_branch_addr</t>
    <phoneticPr fontId="1" type="noConversion"/>
  </si>
  <si>
    <t>w_ex_branch_addr</t>
  </si>
  <si>
    <t>w_id_dec_opcode</t>
    <phoneticPr fontId="1" type="noConversion"/>
  </si>
  <si>
    <t>w_id_dec_rs</t>
    <phoneticPr fontId="1" type="noConversion"/>
  </si>
  <si>
    <t>w_id_dec_rt</t>
    <phoneticPr fontId="1" type="noConversion"/>
  </si>
  <si>
    <t>w_id_dec_rd</t>
    <phoneticPr fontId="1" type="noConversion"/>
  </si>
  <si>
    <t>w_id_dec_shamt</t>
    <phoneticPr fontId="1" type="noConversion"/>
  </si>
  <si>
    <t>w_id_dec_const</t>
    <phoneticPr fontId="1" type="noConversion"/>
  </si>
  <si>
    <t>w_ex_alu_ctr</t>
  </si>
  <si>
    <t>w_wb_memtoreg_mux_data</t>
  </si>
  <si>
    <t>ALU Output or D-MEM RDATA ([Warning] Hazard)</t>
    <phoneticPr fontId="1" type="noConversion"/>
  </si>
  <si>
    <t>w_ex_alusrc_mux_data</t>
  </si>
  <si>
    <t>w_ex_alu_carry_out</t>
    <phoneticPr fontId="1" type="noConversion"/>
  </si>
  <si>
    <t>w_ex_alu_zero</t>
  </si>
  <si>
    <t>w_ex_hi</t>
    <phoneticPr fontId="1" type="noConversion"/>
  </si>
  <si>
    <t>w_ex_lo</t>
    <phoneticPr fontId="1" type="noConversion"/>
  </si>
  <si>
    <t>w_ex_branch_mux_addr</t>
    <phoneticPr fontId="1" type="noConversion"/>
  </si>
  <si>
    <t>w_ex_branch
w_ex_alu_zero</t>
    <phoneticPr fontId="1" type="noConversion"/>
  </si>
  <si>
    <t>w_ex_ctr_branch</t>
  </si>
  <si>
    <t>w_ex_regwrite</t>
    <phoneticPr fontId="1" type="noConversion"/>
  </si>
  <si>
    <t>w_wb_regwrite</t>
    <phoneticPr fontId="1" type="noConversion"/>
  </si>
  <si>
    <t>RegWrite Flag (EX)</t>
    <phoneticPr fontId="1" type="noConversion"/>
  </si>
  <si>
    <t>RegWrite Flag (MEM)</t>
    <phoneticPr fontId="1" type="noConversion"/>
  </si>
  <si>
    <t>RegWrite Flag (WB)</t>
    <phoneticPr fontId="1" type="noConversion"/>
  </si>
  <si>
    <t>Decoded rd Register (ID)</t>
    <phoneticPr fontId="1" type="noConversion"/>
  </si>
  <si>
    <t>Decoded rt Register (EX)</t>
    <phoneticPr fontId="1" type="noConversion"/>
  </si>
  <si>
    <t>w_ex_dec_rt</t>
    <phoneticPr fontId="1" type="noConversion"/>
  </si>
  <si>
    <t>w_ex_dec_rd</t>
    <phoneticPr fontId="1" type="noConversion"/>
  </si>
  <si>
    <t>w_mem_dec_rt</t>
    <phoneticPr fontId="1" type="noConversion"/>
  </si>
  <si>
    <t>w_mem_dec_rd</t>
    <phoneticPr fontId="1" type="noConversion"/>
  </si>
  <si>
    <t>w_wb_dec_rt</t>
    <phoneticPr fontId="1" type="noConversion"/>
  </si>
  <si>
    <t>w_wb_dec_rd</t>
    <phoneticPr fontId="1" type="noConversion"/>
  </si>
  <si>
    <t>Decoded rd Register (EX)</t>
    <phoneticPr fontId="1" type="noConversion"/>
  </si>
  <si>
    <t>Decoded rt Register (MEM)</t>
    <phoneticPr fontId="1" type="noConversion"/>
  </si>
  <si>
    <t>Decoded rd Register (MEM)</t>
    <phoneticPr fontId="1" type="noConversion"/>
  </si>
  <si>
    <t>Decoded rt Register (WB)</t>
    <phoneticPr fontId="1" type="noConversion"/>
  </si>
  <si>
    <t>Decoded rd Register (WB)</t>
    <phoneticPr fontId="1" type="noConversion"/>
  </si>
  <si>
    <t>w_ex_ctr_regdst</t>
    <phoneticPr fontId="1" type="noConversion"/>
  </si>
  <si>
    <t>w_mem_ctr_regdst</t>
    <phoneticPr fontId="1" type="noConversion"/>
  </si>
  <si>
    <t>w_wb_ctr_regdst</t>
    <phoneticPr fontId="1" type="noConversion"/>
  </si>
  <si>
    <t>RegDst Flag (EX)</t>
    <phoneticPr fontId="1" type="noConversion"/>
  </si>
  <si>
    <t>RegDst Flag (MEM)</t>
    <phoneticPr fontId="1" type="noConversion"/>
  </si>
  <si>
    <t>RegDst Flag (WB)</t>
    <phoneticPr fontId="1" type="noConversion"/>
  </si>
  <si>
    <t>w_wb_regdst_mux_reg</t>
    <phoneticPr fontId="1" type="noConversion"/>
  </si>
  <si>
    <t>rt or rd Register (WB)</t>
    <phoneticPr fontId="1" type="noConversion"/>
  </si>
  <si>
    <t>top파일 복붙용</t>
    <phoneticPr fontId="1" type="noConversion"/>
  </si>
  <si>
    <t>시작위치</t>
    <phoneticPr fontId="1" type="noConversion"/>
  </si>
  <si>
    <t>끝위치</t>
    <phoneticPr fontId="1" type="noConversion"/>
  </si>
  <si>
    <t>추출</t>
    <phoneticPr fontId="1" type="noConversion"/>
  </si>
  <si>
    <t>엑셀 복붙용</t>
    <phoneticPr fontId="1" type="noConversion"/>
  </si>
  <si>
    <t>w_mem_ctr_regwrite</t>
    <phoneticPr fontId="1" type="noConversion"/>
  </si>
  <si>
    <t>u_mem_wb_bridge
u_forward_regdst_mux</t>
    <phoneticPr fontId="1" type="noConversion"/>
  </si>
  <si>
    <t>이름
바뀐거
찾기</t>
    <phoneticPr fontId="1" type="noConversion"/>
  </si>
  <si>
    <t>안적은거
찾기</t>
    <phoneticPr fontId="1" type="noConversion"/>
  </si>
  <si>
    <t>w_ex_dec_rs</t>
  </si>
  <si>
    <t>Decoded rs Register (EX)</t>
    <phoneticPr fontId="1" type="noConversion"/>
  </si>
  <si>
    <t>Decoded rs Register (ID)</t>
    <phoneticPr fontId="1" type="noConversion"/>
  </si>
  <si>
    <t>u_registers
u_id_ex_bridge</t>
    <phoneticPr fontId="1" type="noConversion"/>
  </si>
  <si>
    <t>u_forward_unit</t>
    <phoneticPr fontId="1" type="noConversion"/>
  </si>
  <si>
    <t>w_mem_regdst_mux_reg</t>
  </si>
  <si>
    <t>u_forward_regdst_mux</t>
    <phoneticPr fontId="1" type="noConversion"/>
  </si>
  <si>
    <t>rt or rd Register (MEM)</t>
    <phoneticPr fontId="1" type="noConversion"/>
  </si>
  <si>
    <t>w_if_pc_mux_addr</t>
    <phoneticPr fontId="1" type="noConversion"/>
  </si>
  <si>
    <t>u_pc_mux</t>
    <phoneticPr fontId="1" type="noConversion"/>
  </si>
  <si>
    <t>I-MEM RADDR (Next)</t>
    <phoneticPr fontId="1" type="noConversion"/>
  </si>
  <si>
    <t>w_ctr_forward_a</t>
  </si>
  <si>
    <t>w_ctr_forward_b</t>
  </si>
  <si>
    <t>w_ex_forward_mux_data_a</t>
  </si>
  <si>
    <t>w_ex_forward_mux_data_b</t>
  </si>
  <si>
    <t>ForwardA Output</t>
    <phoneticPr fontId="1" type="noConversion"/>
  </si>
  <si>
    <t>ForwardB Output</t>
    <phoneticPr fontId="1" type="noConversion"/>
  </si>
  <si>
    <t>u_forward_a_mux</t>
    <phoneticPr fontId="1" type="noConversion"/>
  </si>
  <si>
    <t>u_forward_b_mux</t>
    <phoneticPr fontId="1" type="noConversion"/>
  </si>
  <si>
    <t>ForwardA MUX Data</t>
    <phoneticPr fontId="1" type="noConversion"/>
  </si>
  <si>
    <t>ForwardB MUX Data</t>
    <phoneticPr fontId="1" type="noConversion"/>
  </si>
  <si>
    <t>u_ex_mem_bridge
u_forward_unit</t>
    <phoneticPr fontId="1" type="noConversion"/>
  </si>
  <si>
    <r>
      <t xml:space="preserve">u_mem_wb_bridge
</t>
    </r>
    <r>
      <rPr>
        <b/>
        <sz val="11"/>
        <color theme="1"/>
        <rFont val="맑은 고딕"/>
        <family val="3"/>
        <charset val="129"/>
        <scheme val="minor"/>
      </rPr>
      <t xml:space="preserve">o_d_mem_addr
</t>
    </r>
    <r>
      <rPr>
        <sz val="11"/>
        <color theme="1"/>
        <rFont val="맑은 고딕"/>
        <family val="3"/>
        <charset val="129"/>
        <scheme val="minor"/>
      </rPr>
      <t>u_forward_a_mux
u_forward_b_mux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</si>
</sst>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0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 wrapText="1"/>
    </xf>
    <xf numFmtId="176" fontId="2" fillId="2" borderId="12" xfId="0" applyNumberFormat="1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176" fontId="2" fillId="2" borderId="17" xfId="0" applyNumberFormat="1" applyFont="1" applyFill="1" applyBorder="1" applyAlignment="1">
      <alignment horizontal="center" vertical="center" wrapText="1"/>
    </xf>
    <xf numFmtId="176" fontId="2" fillId="2" borderId="18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176" fontId="2" fillId="4" borderId="8" xfId="0" applyNumberFormat="1" applyFont="1" applyFill="1" applyBorder="1" applyAlignment="1">
      <alignment horizontal="center" vertical="center"/>
    </xf>
    <xf numFmtId="176" fontId="2" fillId="4" borderId="9" xfId="0" applyNumberFormat="1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176" fontId="2" fillId="5" borderId="11" xfId="0" applyNumberFormat="1" applyFont="1" applyFill="1" applyBorder="1" applyAlignment="1">
      <alignment horizontal="center" vertical="center"/>
    </xf>
    <xf numFmtId="176" fontId="2" fillId="5" borderId="12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76" fontId="2" fillId="5" borderId="6" xfId="0" applyNumberFormat="1" applyFont="1" applyFill="1" applyBorder="1" applyAlignment="1">
      <alignment horizontal="left" vertical="center"/>
    </xf>
    <xf numFmtId="0" fontId="2" fillId="5" borderId="17" xfId="0" applyFont="1" applyFill="1" applyBorder="1" applyAlignment="1">
      <alignment horizontal="center" vertical="center"/>
    </xf>
    <xf numFmtId="176" fontId="2" fillId="5" borderId="18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176" fontId="2" fillId="6" borderId="15" xfId="0" applyNumberFormat="1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left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 wrapText="1"/>
    </xf>
    <xf numFmtId="176" fontId="3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left"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6" fontId="0" fillId="5" borderId="0" xfId="0" applyNumberFormat="1" applyFill="1" applyAlignment="1">
      <alignment horizontal="left" vertical="center"/>
    </xf>
    <xf numFmtId="176" fontId="2" fillId="5" borderId="0" xfId="0" applyNumberFormat="1" applyFont="1" applyFill="1" applyAlignment="1">
      <alignment horizontal="center" vertical="center" wrapText="1"/>
    </xf>
    <xf numFmtId="3" fontId="0" fillId="5" borderId="0" xfId="0" applyNumberFormat="1" applyFill="1" applyAlignment="1">
      <alignment horizontal="left" vertical="center"/>
    </xf>
    <xf numFmtId="3" fontId="2" fillId="5" borderId="0" xfId="0" applyNumberFormat="1" applyFon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C11C-1620-411A-9B2F-3F513CAF246A}">
  <dimension ref="B1:S140"/>
  <sheetViews>
    <sheetView showGridLines="0" topLeftCell="A70" zoomScale="85" zoomScaleNormal="85" workbookViewId="0">
      <selection activeCell="D82" sqref="D82"/>
    </sheetView>
  </sheetViews>
  <sheetFormatPr defaultColWidth="8.625" defaultRowHeight="16.5" x14ac:dyDescent="0.3"/>
  <cols>
    <col min="1" max="1" width="2.625" style="1" customWidth="1"/>
    <col min="2" max="2" width="3.625" style="1" customWidth="1"/>
    <col min="3" max="3" width="30.625" style="3" customWidth="1"/>
    <col min="4" max="4" width="14.625" style="1" customWidth="1"/>
    <col min="5" max="5" width="30.625" style="1" customWidth="1"/>
    <col min="6" max="6" width="30.625" style="2" customWidth="1"/>
    <col min="7" max="7" width="45.625" style="5" customWidth="1"/>
    <col min="8" max="8" width="2.625" style="4" customWidth="1"/>
    <col min="9" max="9" width="3.625" style="1" customWidth="1"/>
    <col min="10" max="10" width="10.625" style="1" customWidth="1"/>
    <col min="11" max="12" width="12.625" style="1" customWidth="1"/>
    <col min="13" max="13" width="40.625" style="1" customWidth="1"/>
    <col min="14" max="14" width="2.625" style="1" customWidth="1"/>
    <col min="15" max="15" width="3.625" style="1" customWidth="1"/>
    <col min="16" max="16" width="10.625" style="1" customWidth="1"/>
    <col min="17" max="17" width="14.625" style="1" customWidth="1"/>
    <col min="18" max="18" width="12.625" style="1" customWidth="1"/>
    <col min="19" max="19" width="40.625" style="1" customWidth="1"/>
    <col min="20" max="16384" width="8.625" style="1"/>
  </cols>
  <sheetData>
    <row r="1" spans="2:19" ht="17.25" thickBot="1" x14ac:dyDescent="0.35"/>
    <row r="2" spans="2:19" ht="17.25" thickBot="1" x14ac:dyDescent="0.35">
      <c r="B2" s="143" t="s">
        <v>0</v>
      </c>
      <c r="C2" s="144"/>
      <c r="D2" s="144"/>
      <c r="E2" s="144"/>
      <c r="F2" s="144"/>
      <c r="G2" s="145"/>
      <c r="I2" s="122" t="s">
        <v>104</v>
      </c>
      <c r="J2" s="123"/>
      <c r="K2" s="122" t="s">
        <v>98</v>
      </c>
      <c r="L2" s="124"/>
      <c r="M2" s="123"/>
      <c r="O2" s="122" t="s">
        <v>104</v>
      </c>
      <c r="P2" s="123"/>
      <c r="Q2" s="122" t="s">
        <v>151</v>
      </c>
      <c r="R2" s="124"/>
      <c r="S2" s="123"/>
    </row>
    <row r="3" spans="2:19" ht="17.25" thickBot="1" x14ac:dyDescent="0.35">
      <c r="B3" s="34" t="s">
        <v>41</v>
      </c>
      <c r="C3" s="51" t="s">
        <v>1</v>
      </c>
      <c r="D3" s="6" t="s">
        <v>4</v>
      </c>
      <c r="E3" s="7" t="s">
        <v>2</v>
      </c>
      <c r="F3" s="7" t="s">
        <v>3</v>
      </c>
      <c r="G3" s="8" t="s">
        <v>8</v>
      </c>
      <c r="I3" s="132" t="s">
        <v>110</v>
      </c>
      <c r="J3" s="133"/>
      <c r="K3" s="134" t="s">
        <v>111</v>
      </c>
      <c r="L3" s="135"/>
      <c r="M3" s="136"/>
      <c r="O3" s="132" t="s">
        <v>110</v>
      </c>
      <c r="P3" s="133"/>
      <c r="Q3" s="134" t="s">
        <v>239</v>
      </c>
      <c r="R3" s="135"/>
      <c r="S3" s="136"/>
    </row>
    <row r="4" spans="2:19" x14ac:dyDescent="0.3">
      <c r="B4" s="35">
        <v>1</v>
      </c>
      <c r="C4" s="36" t="s">
        <v>5</v>
      </c>
      <c r="D4" s="43">
        <v>1</v>
      </c>
      <c r="E4" s="9" t="s">
        <v>7</v>
      </c>
      <c r="F4" s="10" t="s">
        <v>23</v>
      </c>
      <c r="G4" s="11" t="s">
        <v>9</v>
      </c>
      <c r="I4" s="132" t="s">
        <v>108</v>
      </c>
      <c r="J4" s="133"/>
      <c r="K4" s="132" t="s">
        <v>65</v>
      </c>
      <c r="L4" s="137"/>
      <c r="M4" s="133"/>
      <c r="O4" s="132" t="s">
        <v>108</v>
      </c>
      <c r="P4" s="133"/>
      <c r="Q4" s="132" t="s">
        <v>65</v>
      </c>
      <c r="R4" s="137"/>
      <c r="S4" s="133"/>
    </row>
    <row r="5" spans="2:19" ht="17.25" thickBot="1" x14ac:dyDescent="0.35">
      <c r="B5" s="54">
        <v>2</v>
      </c>
      <c r="C5" s="61" t="s">
        <v>6</v>
      </c>
      <c r="D5" s="44">
        <v>1</v>
      </c>
      <c r="E5" s="12" t="s">
        <v>7</v>
      </c>
      <c r="F5" s="13" t="s">
        <v>23</v>
      </c>
      <c r="G5" s="14" t="s">
        <v>9</v>
      </c>
      <c r="I5" s="138" t="s">
        <v>8</v>
      </c>
      <c r="J5" s="139"/>
      <c r="K5" s="140" t="s">
        <v>103</v>
      </c>
      <c r="L5" s="121"/>
      <c r="M5" s="141"/>
      <c r="O5" s="138" t="s">
        <v>8</v>
      </c>
      <c r="P5" s="139"/>
      <c r="Q5" s="140" t="s">
        <v>152</v>
      </c>
      <c r="R5" s="121"/>
      <c r="S5" s="141"/>
    </row>
    <row r="6" spans="2:19" ht="17.25" thickBot="1" x14ac:dyDescent="0.35">
      <c r="B6" s="55">
        <v>3</v>
      </c>
      <c r="C6" s="62" t="s">
        <v>10</v>
      </c>
      <c r="D6" s="45" t="s">
        <v>20</v>
      </c>
      <c r="E6" s="15" t="s">
        <v>22</v>
      </c>
      <c r="F6" s="15" t="s">
        <v>23</v>
      </c>
      <c r="G6" s="16" t="s">
        <v>26</v>
      </c>
      <c r="I6" s="67" t="s">
        <v>41</v>
      </c>
      <c r="J6" s="130" t="s">
        <v>99</v>
      </c>
      <c r="K6" s="130"/>
      <c r="L6" s="130"/>
      <c r="M6" s="69" t="s">
        <v>8</v>
      </c>
      <c r="O6" s="67" t="s">
        <v>41</v>
      </c>
      <c r="P6" s="130" t="s">
        <v>99</v>
      </c>
      <c r="Q6" s="130"/>
      <c r="R6" s="130"/>
      <c r="S6" s="69" t="s">
        <v>8</v>
      </c>
    </row>
    <row r="7" spans="2:19" ht="17.25" thickBot="1" x14ac:dyDescent="0.35">
      <c r="B7" s="37">
        <v>4</v>
      </c>
      <c r="C7" s="38" t="s">
        <v>11</v>
      </c>
      <c r="D7" s="46">
        <v>1</v>
      </c>
      <c r="E7" s="17" t="s">
        <v>23</v>
      </c>
      <c r="F7" s="17" t="s">
        <v>22</v>
      </c>
      <c r="G7" s="18" t="s">
        <v>27</v>
      </c>
      <c r="I7" s="70">
        <v>1</v>
      </c>
      <c r="J7" s="142" t="s">
        <v>21</v>
      </c>
      <c r="K7" s="142"/>
      <c r="L7" s="142"/>
      <c r="M7" s="71" t="s">
        <v>134</v>
      </c>
      <c r="O7" s="87">
        <v>1</v>
      </c>
      <c r="P7" s="131" t="s">
        <v>21</v>
      </c>
      <c r="Q7" s="131"/>
      <c r="R7" s="131"/>
      <c r="S7" s="88" t="s">
        <v>134</v>
      </c>
    </row>
    <row r="8" spans="2:19" ht="17.25" thickBot="1" x14ac:dyDescent="0.35">
      <c r="B8" s="56">
        <v>5</v>
      </c>
      <c r="C8" s="63" t="s">
        <v>12</v>
      </c>
      <c r="D8" s="47" t="s">
        <v>21</v>
      </c>
      <c r="E8" s="19" t="s">
        <v>23</v>
      </c>
      <c r="F8" s="19" t="s">
        <v>22</v>
      </c>
      <c r="G8" s="20" t="s">
        <v>27</v>
      </c>
      <c r="I8" s="67" t="s">
        <v>41</v>
      </c>
      <c r="J8" s="68" t="s">
        <v>92</v>
      </c>
      <c r="K8" s="68" t="s">
        <v>1</v>
      </c>
      <c r="L8" s="68" t="s">
        <v>4</v>
      </c>
      <c r="M8" s="69" t="s">
        <v>8</v>
      </c>
      <c r="O8" s="80">
        <v>2</v>
      </c>
      <c r="P8" s="121" t="s">
        <v>20</v>
      </c>
      <c r="Q8" s="121"/>
      <c r="R8" s="121"/>
      <c r="S8" s="82" t="s">
        <v>135</v>
      </c>
    </row>
    <row r="9" spans="2:19" ht="17.25" thickBot="1" x14ac:dyDescent="0.35">
      <c r="B9" s="57">
        <v>6</v>
      </c>
      <c r="C9" s="64" t="s">
        <v>13</v>
      </c>
      <c r="D9" s="48" t="s">
        <v>20</v>
      </c>
      <c r="E9" s="26" t="s">
        <v>24</v>
      </c>
      <c r="F9" s="27" t="s">
        <v>23</v>
      </c>
      <c r="G9" s="28" t="s">
        <v>28</v>
      </c>
      <c r="I9" s="72">
        <v>1</v>
      </c>
      <c r="J9" s="73" t="s">
        <v>93</v>
      </c>
      <c r="K9" s="73" t="s">
        <v>95</v>
      </c>
      <c r="L9" s="74" t="s">
        <v>21</v>
      </c>
      <c r="M9" s="75" t="s">
        <v>100</v>
      </c>
      <c r="O9" s="67" t="s">
        <v>41</v>
      </c>
      <c r="P9" s="68" t="s">
        <v>92</v>
      </c>
      <c r="Q9" s="68" t="s">
        <v>1</v>
      </c>
      <c r="R9" s="68" t="s">
        <v>4</v>
      </c>
      <c r="S9" s="69" t="s">
        <v>8</v>
      </c>
    </row>
    <row r="10" spans="2:19" x14ac:dyDescent="0.3">
      <c r="B10" s="39">
        <v>7</v>
      </c>
      <c r="C10" s="40" t="s">
        <v>14</v>
      </c>
      <c r="D10" s="49">
        <v>1</v>
      </c>
      <c r="E10" s="29" t="s">
        <v>23</v>
      </c>
      <c r="F10" s="29" t="s">
        <v>24</v>
      </c>
      <c r="G10" s="30" t="s">
        <v>29</v>
      </c>
      <c r="I10" s="76">
        <v>2</v>
      </c>
      <c r="J10" s="77" t="s">
        <v>93</v>
      </c>
      <c r="K10" s="77" t="s">
        <v>96</v>
      </c>
      <c r="L10" s="78" t="s">
        <v>21</v>
      </c>
      <c r="M10" s="79" t="s">
        <v>101</v>
      </c>
      <c r="O10" s="72">
        <v>1</v>
      </c>
      <c r="P10" s="73" t="s">
        <v>93</v>
      </c>
      <c r="Q10" s="73" t="s">
        <v>5</v>
      </c>
      <c r="R10" s="73">
        <v>1</v>
      </c>
      <c r="S10" s="75" t="s">
        <v>156</v>
      </c>
    </row>
    <row r="11" spans="2:19" ht="17.25" thickBot="1" x14ac:dyDescent="0.35">
      <c r="B11" s="39">
        <v>8</v>
      </c>
      <c r="C11" s="40" t="s">
        <v>15</v>
      </c>
      <c r="D11" s="49">
        <v>1</v>
      </c>
      <c r="E11" s="29" t="s">
        <v>23</v>
      </c>
      <c r="F11" s="29" t="s">
        <v>24</v>
      </c>
      <c r="G11" s="30" t="s">
        <v>29</v>
      </c>
      <c r="I11" s="80">
        <v>3</v>
      </c>
      <c r="J11" s="66" t="s">
        <v>94</v>
      </c>
      <c r="K11" s="66" t="s">
        <v>97</v>
      </c>
      <c r="L11" s="81" t="s">
        <v>21</v>
      </c>
      <c r="M11" s="82" t="s">
        <v>102</v>
      </c>
      <c r="O11" s="72">
        <v>2</v>
      </c>
      <c r="P11" s="73" t="s">
        <v>93</v>
      </c>
      <c r="Q11" s="73" t="s">
        <v>6</v>
      </c>
      <c r="R11" s="73">
        <v>1</v>
      </c>
      <c r="S11" s="75" t="s">
        <v>157</v>
      </c>
    </row>
    <row r="12" spans="2:19" ht="17.25" thickBot="1" x14ac:dyDescent="0.35">
      <c r="B12" s="39">
        <v>9</v>
      </c>
      <c r="C12" s="40" t="s">
        <v>16</v>
      </c>
      <c r="D12" s="49" t="s">
        <v>21</v>
      </c>
      <c r="E12" s="29" t="s">
        <v>23</v>
      </c>
      <c r="F12" s="29" t="s">
        <v>24</v>
      </c>
      <c r="G12" s="30" t="s">
        <v>29</v>
      </c>
      <c r="I12" s="125" t="s">
        <v>106</v>
      </c>
      <c r="J12" s="126"/>
      <c r="K12" s="127" t="s">
        <v>107</v>
      </c>
      <c r="L12" s="128"/>
      <c r="M12" s="129"/>
      <c r="O12" s="72">
        <v>3</v>
      </c>
      <c r="P12" s="73" t="s">
        <v>93</v>
      </c>
      <c r="Q12" s="73" t="s">
        <v>153</v>
      </c>
      <c r="R12" s="74" t="s">
        <v>21</v>
      </c>
      <c r="S12" s="75" t="s">
        <v>158</v>
      </c>
    </row>
    <row r="13" spans="2:19" ht="17.25" thickBot="1" x14ac:dyDescent="0.35">
      <c r="B13" s="58">
        <v>10</v>
      </c>
      <c r="C13" s="65" t="s">
        <v>17</v>
      </c>
      <c r="D13" s="50" t="s">
        <v>20</v>
      </c>
      <c r="E13" s="31" t="s">
        <v>23</v>
      </c>
      <c r="F13" s="31" t="s">
        <v>24</v>
      </c>
      <c r="G13" s="32" t="s">
        <v>29</v>
      </c>
      <c r="O13" s="72">
        <v>4</v>
      </c>
      <c r="P13" s="73" t="s">
        <v>93</v>
      </c>
      <c r="Q13" s="73" t="s">
        <v>10</v>
      </c>
      <c r="R13" s="74" t="s">
        <v>20</v>
      </c>
      <c r="S13" s="75" t="s">
        <v>26</v>
      </c>
    </row>
    <row r="14" spans="2:19" x14ac:dyDescent="0.3">
      <c r="B14" s="52">
        <v>11</v>
      </c>
      <c r="C14" s="53" t="s">
        <v>18</v>
      </c>
      <c r="D14" s="59">
        <v>1</v>
      </c>
      <c r="E14" s="21" t="s">
        <v>23</v>
      </c>
      <c r="F14" s="21" t="s">
        <v>25</v>
      </c>
      <c r="G14" s="22" t="s">
        <v>30</v>
      </c>
      <c r="O14" s="76">
        <v>5</v>
      </c>
      <c r="P14" s="77" t="s">
        <v>94</v>
      </c>
      <c r="Q14" s="73" t="s">
        <v>154</v>
      </c>
      <c r="R14" s="74" t="s">
        <v>21</v>
      </c>
      <c r="S14" s="79" t="s">
        <v>159</v>
      </c>
    </row>
    <row r="15" spans="2:19" ht="17.25" thickBot="1" x14ac:dyDescent="0.35">
      <c r="B15" s="41">
        <v>12</v>
      </c>
      <c r="C15" s="42" t="s">
        <v>19</v>
      </c>
      <c r="D15" s="60">
        <v>1</v>
      </c>
      <c r="E15" s="23" t="s">
        <v>25</v>
      </c>
      <c r="F15" s="24" t="s">
        <v>23</v>
      </c>
      <c r="G15" s="25" t="s">
        <v>31</v>
      </c>
      <c r="O15" s="80">
        <v>6</v>
      </c>
      <c r="P15" s="66" t="s">
        <v>94</v>
      </c>
      <c r="Q15" s="73" t="s">
        <v>155</v>
      </c>
      <c r="R15" s="74" t="s">
        <v>20</v>
      </c>
      <c r="S15" s="82" t="s">
        <v>160</v>
      </c>
    </row>
    <row r="16" spans="2:19" ht="17.25" thickBot="1" x14ac:dyDescent="0.35">
      <c r="O16" s="125" t="s">
        <v>106</v>
      </c>
      <c r="P16" s="126"/>
      <c r="Q16" s="127" t="s">
        <v>242</v>
      </c>
      <c r="R16" s="128"/>
      <c r="S16" s="129"/>
    </row>
    <row r="17" spans="2:19" ht="17.25" thickBot="1" x14ac:dyDescent="0.35">
      <c r="B17" s="90" t="s">
        <v>41</v>
      </c>
      <c r="C17" s="90" t="s">
        <v>32</v>
      </c>
      <c r="D17" s="90" t="s">
        <v>4</v>
      </c>
      <c r="E17" s="90" t="s">
        <v>33</v>
      </c>
      <c r="F17" s="91" t="s">
        <v>34</v>
      </c>
      <c r="G17" s="91" t="s">
        <v>8</v>
      </c>
    </row>
    <row r="18" spans="2:19" x14ac:dyDescent="0.3">
      <c r="B18" s="33">
        <f>IF(C18="","",1)</f>
        <v>1</v>
      </c>
      <c r="C18" s="3" t="s">
        <v>354</v>
      </c>
      <c r="D18" s="1">
        <v>1</v>
      </c>
      <c r="E18" s="2" t="s">
        <v>347</v>
      </c>
      <c r="F18" s="2" t="s">
        <v>360</v>
      </c>
      <c r="G18" s="5" t="s">
        <v>358</v>
      </c>
      <c r="I18" s="122" t="s">
        <v>104</v>
      </c>
      <c r="J18" s="123"/>
      <c r="K18" s="122" t="s">
        <v>105</v>
      </c>
      <c r="L18" s="124"/>
      <c r="M18" s="123"/>
      <c r="O18" s="122" t="s">
        <v>104</v>
      </c>
      <c r="P18" s="123"/>
      <c r="Q18" s="122" t="s">
        <v>161</v>
      </c>
      <c r="R18" s="124"/>
      <c r="S18" s="123"/>
    </row>
    <row r="19" spans="2:19" x14ac:dyDescent="0.3">
      <c r="B19" s="33">
        <f t="shared" ref="B19:B50" si="0">IF(C19="","",B18+1)</f>
        <v>2</v>
      </c>
      <c r="C19" s="3" t="s">
        <v>355</v>
      </c>
      <c r="D19" s="1">
        <v>1</v>
      </c>
      <c r="E19" s="2" t="s">
        <v>347</v>
      </c>
      <c r="F19" s="2" t="s">
        <v>361</v>
      </c>
      <c r="G19" s="5" t="s">
        <v>359</v>
      </c>
      <c r="I19" s="132" t="s">
        <v>110</v>
      </c>
      <c r="J19" s="133"/>
      <c r="K19" s="134" t="s">
        <v>112</v>
      </c>
      <c r="L19" s="135"/>
      <c r="M19" s="136"/>
      <c r="O19" s="132" t="s">
        <v>110</v>
      </c>
      <c r="P19" s="133"/>
      <c r="Q19" s="134" t="s">
        <v>239</v>
      </c>
      <c r="R19" s="135"/>
      <c r="S19" s="136"/>
    </row>
    <row r="20" spans="2:19" ht="33" x14ac:dyDescent="0.3">
      <c r="B20" s="33">
        <f t="shared" si="0"/>
        <v>3</v>
      </c>
      <c r="C20" s="3" t="s">
        <v>197</v>
      </c>
      <c r="D20" s="90" t="s">
        <v>21</v>
      </c>
      <c r="E20" s="2" t="s">
        <v>240</v>
      </c>
      <c r="F20" s="103" t="s">
        <v>261</v>
      </c>
      <c r="G20" s="99" t="s">
        <v>199</v>
      </c>
      <c r="I20" s="132" t="s">
        <v>108</v>
      </c>
      <c r="J20" s="133"/>
      <c r="K20" s="134" t="s">
        <v>109</v>
      </c>
      <c r="L20" s="135"/>
      <c r="M20" s="136"/>
      <c r="O20" s="132" t="s">
        <v>108</v>
      </c>
      <c r="P20" s="133"/>
      <c r="Q20" s="132" t="s">
        <v>65</v>
      </c>
      <c r="R20" s="137"/>
      <c r="S20" s="133"/>
    </row>
    <row r="21" spans="2:19" ht="17.25" thickBot="1" x14ac:dyDescent="0.35">
      <c r="B21" s="33">
        <f t="shared" si="0"/>
        <v>4</v>
      </c>
      <c r="C21" s="3" t="s">
        <v>301</v>
      </c>
      <c r="D21" s="1">
        <v>1</v>
      </c>
      <c r="E21" s="1" t="s">
        <v>80</v>
      </c>
      <c r="F21" s="2" t="s">
        <v>65</v>
      </c>
      <c r="G21" s="5" t="s">
        <v>85</v>
      </c>
      <c r="I21" s="138" t="s">
        <v>8</v>
      </c>
      <c r="J21" s="139"/>
      <c r="K21" s="140" t="s">
        <v>126</v>
      </c>
      <c r="L21" s="121"/>
      <c r="M21" s="141"/>
      <c r="O21" s="138" t="s">
        <v>8</v>
      </c>
      <c r="P21" s="139"/>
      <c r="Q21" s="140" t="s">
        <v>162</v>
      </c>
      <c r="R21" s="121"/>
      <c r="S21" s="141"/>
    </row>
    <row r="22" spans="2:19" ht="33.75" thickBot="1" x14ac:dyDescent="0.35">
      <c r="B22" s="33">
        <f t="shared" si="0"/>
        <v>5</v>
      </c>
      <c r="C22" s="3" t="s">
        <v>297</v>
      </c>
      <c r="D22" s="1">
        <v>4</v>
      </c>
      <c r="E22" s="1" t="s">
        <v>76</v>
      </c>
      <c r="F22" s="103" t="s">
        <v>77</v>
      </c>
      <c r="G22" s="5" t="s">
        <v>78</v>
      </c>
      <c r="I22" s="67" t="s">
        <v>41</v>
      </c>
      <c r="J22" s="130" t="s">
        <v>99</v>
      </c>
      <c r="K22" s="130"/>
      <c r="L22" s="130"/>
      <c r="M22" s="69" t="s">
        <v>8</v>
      </c>
      <c r="O22" s="67" t="s">
        <v>41</v>
      </c>
      <c r="P22" s="130" t="s">
        <v>99</v>
      </c>
      <c r="Q22" s="130"/>
      <c r="R22" s="130"/>
      <c r="S22" s="69" t="s">
        <v>8</v>
      </c>
    </row>
    <row r="23" spans="2:19" ht="17.25" thickBot="1" x14ac:dyDescent="0.35">
      <c r="B23" s="33">
        <f t="shared" si="0"/>
        <v>6</v>
      </c>
      <c r="C23" s="3" t="s">
        <v>263</v>
      </c>
      <c r="D23" s="90" t="s">
        <v>20</v>
      </c>
      <c r="E23" s="1" t="s">
        <v>80</v>
      </c>
      <c r="F23" s="103" t="s">
        <v>244</v>
      </c>
      <c r="G23" s="5" t="s">
        <v>264</v>
      </c>
      <c r="I23" s="70">
        <v>1</v>
      </c>
      <c r="J23" s="142" t="s">
        <v>20</v>
      </c>
      <c r="K23" s="142"/>
      <c r="L23" s="142"/>
      <c r="M23" s="71" t="s">
        <v>135</v>
      </c>
      <c r="O23" s="87">
        <v>1</v>
      </c>
      <c r="P23" s="131" t="s">
        <v>21</v>
      </c>
      <c r="Q23" s="131"/>
      <c r="R23" s="131"/>
      <c r="S23" s="88" t="s">
        <v>134</v>
      </c>
    </row>
    <row r="24" spans="2:19" ht="17.25" thickBot="1" x14ac:dyDescent="0.35">
      <c r="B24" s="33">
        <f t="shared" si="0"/>
        <v>7</v>
      </c>
      <c r="C24" s="3" t="s">
        <v>302</v>
      </c>
      <c r="D24" s="1">
        <v>1</v>
      </c>
      <c r="E24" s="1" t="s">
        <v>80</v>
      </c>
      <c r="F24" s="2" t="s">
        <v>307</v>
      </c>
      <c r="G24" s="5" t="s">
        <v>86</v>
      </c>
      <c r="I24" s="67" t="s">
        <v>41</v>
      </c>
      <c r="J24" s="68" t="s">
        <v>92</v>
      </c>
      <c r="K24" s="68" t="s">
        <v>1</v>
      </c>
      <c r="L24" s="68" t="s">
        <v>4</v>
      </c>
      <c r="M24" s="69" t="s">
        <v>8</v>
      </c>
      <c r="O24" s="80">
        <v>2</v>
      </c>
      <c r="P24" s="121" t="s">
        <v>20</v>
      </c>
      <c r="Q24" s="121"/>
      <c r="R24" s="121"/>
      <c r="S24" s="82" t="s">
        <v>135</v>
      </c>
    </row>
    <row r="25" spans="2:19" ht="17.25" thickBot="1" x14ac:dyDescent="0.35">
      <c r="B25" s="33">
        <f t="shared" si="0"/>
        <v>8</v>
      </c>
      <c r="C25" s="3" t="s">
        <v>250</v>
      </c>
      <c r="D25" s="1">
        <v>3</v>
      </c>
      <c r="E25" s="1" t="s">
        <v>243</v>
      </c>
      <c r="F25" s="2" t="s">
        <v>66</v>
      </c>
      <c r="G25" s="5" t="s">
        <v>251</v>
      </c>
      <c r="I25" s="72">
        <v>1</v>
      </c>
      <c r="J25" s="73" t="s">
        <v>93</v>
      </c>
      <c r="K25" s="73" t="s">
        <v>113</v>
      </c>
      <c r="L25" s="74" t="s">
        <v>20</v>
      </c>
      <c r="M25" s="75" t="s">
        <v>120</v>
      </c>
      <c r="O25" s="67" t="s">
        <v>41</v>
      </c>
      <c r="P25" s="68" t="s">
        <v>92</v>
      </c>
      <c r="Q25" s="68" t="s">
        <v>1</v>
      </c>
      <c r="R25" s="68" t="s">
        <v>4</v>
      </c>
      <c r="S25" s="69" t="s">
        <v>8</v>
      </c>
    </row>
    <row r="26" spans="2:19" x14ac:dyDescent="0.3">
      <c r="B26" s="33">
        <f t="shared" si="0"/>
        <v>9</v>
      </c>
      <c r="C26" s="3" t="s">
        <v>300</v>
      </c>
      <c r="D26" s="90" t="s">
        <v>20</v>
      </c>
      <c r="E26" s="1" t="s">
        <v>81</v>
      </c>
      <c r="F26" s="103" t="s">
        <v>361</v>
      </c>
      <c r="G26" s="5" t="s">
        <v>83</v>
      </c>
      <c r="I26" s="76">
        <v>2</v>
      </c>
      <c r="J26" s="77" t="s">
        <v>93</v>
      </c>
      <c r="K26" s="77" t="s">
        <v>114</v>
      </c>
      <c r="L26" s="78" t="s">
        <v>20</v>
      </c>
      <c r="M26" s="79" t="s">
        <v>121</v>
      </c>
      <c r="O26" s="72">
        <v>1</v>
      </c>
      <c r="P26" s="73" t="s">
        <v>93</v>
      </c>
      <c r="Q26" s="73" t="s">
        <v>5</v>
      </c>
      <c r="R26" s="73">
        <v>1</v>
      </c>
      <c r="S26" s="75" t="s">
        <v>156</v>
      </c>
    </row>
    <row r="27" spans="2:19" x14ac:dyDescent="0.3">
      <c r="B27" s="33">
        <f t="shared" si="0"/>
        <v>10</v>
      </c>
      <c r="C27" s="3" t="s">
        <v>269</v>
      </c>
      <c r="D27" s="1">
        <v>1</v>
      </c>
      <c r="E27" s="2" t="s">
        <v>243</v>
      </c>
      <c r="F27" s="2" t="s">
        <v>307</v>
      </c>
      <c r="G27" s="5" t="s">
        <v>270</v>
      </c>
      <c r="I27" s="83">
        <v>3</v>
      </c>
      <c r="J27" s="77" t="s">
        <v>93</v>
      </c>
      <c r="K27" s="84" t="s">
        <v>115</v>
      </c>
      <c r="L27" s="84">
        <v>1</v>
      </c>
      <c r="M27" s="85" t="s">
        <v>122</v>
      </c>
      <c r="O27" s="72">
        <v>2</v>
      </c>
      <c r="P27" s="73" t="s">
        <v>93</v>
      </c>
      <c r="Q27" s="73" t="s">
        <v>6</v>
      </c>
      <c r="R27" s="73">
        <v>1</v>
      </c>
      <c r="S27" s="75" t="s">
        <v>157</v>
      </c>
    </row>
    <row r="28" spans="2:19" x14ac:dyDescent="0.3">
      <c r="B28" s="33">
        <f t="shared" si="0"/>
        <v>11</v>
      </c>
      <c r="C28" s="3" t="s">
        <v>290</v>
      </c>
      <c r="D28" s="90" t="s">
        <v>20</v>
      </c>
      <c r="E28" s="1" t="s">
        <v>40</v>
      </c>
      <c r="F28" s="2" t="s">
        <v>53</v>
      </c>
      <c r="G28" s="5" t="s">
        <v>238</v>
      </c>
      <c r="I28" s="83">
        <v>4</v>
      </c>
      <c r="J28" s="84" t="s">
        <v>93</v>
      </c>
      <c r="K28" s="84" t="s">
        <v>116</v>
      </c>
      <c r="L28" s="84">
        <v>4</v>
      </c>
      <c r="M28" s="85" t="s">
        <v>78</v>
      </c>
      <c r="O28" s="83">
        <v>3</v>
      </c>
      <c r="P28" s="73" t="s">
        <v>93</v>
      </c>
      <c r="Q28" s="73" t="s">
        <v>153</v>
      </c>
      <c r="R28" s="74" t="s">
        <v>21</v>
      </c>
      <c r="S28" s="75" t="s">
        <v>163</v>
      </c>
    </row>
    <row r="29" spans="2:19" x14ac:dyDescent="0.3">
      <c r="B29" s="33">
        <f t="shared" si="0"/>
        <v>12</v>
      </c>
      <c r="C29" s="3" t="s">
        <v>305</v>
      </c>
      <c r="D29" s="90" t="s">
        <v>21</v>
      </c>
      <c r="E29" s="1" t="s">
        <v>53</v>
      </c>
      <c r="F29" s="2" t="s">
        <v>36</v>
      </c>
      <c r="G29" s="5" t="s">
        <v>90</v>
      </c>
      <c r="I29" s="83">
        <v>5</v>
      </c>
      <c r="J29" s="84" t="s">
        <v>94</v>
      </c>
      <c r="K29" s="84" t="s">
        <v>117</v>
      </c>
      <c r="L29" s="86" t="s">
        <v>20</v>
      </c>
      <c r="M29" s="85" t="s">
        <v>84</v>
      </c>
      <c r="O29" s="83">
        <v>4</v>
      </c>
      <c r="P29" s="77" t="s">
        <v>93</v>
      </c>
      <c r="Q29" s="84" t="s">
        <v>164</v>
      </c>
      <c r="R29" s="86" t="s">
        <v>20</v>
      </c>
      <c r="S29" s="85" t="s">
        <v>170</v>
      </c>
    </row>
    <row r="30" spans="2:19" x14ac:dyDescent="0.3">
      <c r="B30" s="33">
        <f t="shared" si="0"/>
        <v>13</v>
      </c>
      <c r="C30" s="3" t="s">
        <v>232</v>
      </c>
      <c r="D30" s="1">
        <v>1</v>
      </c>
      <c r="E30" s="1" t="s">
        <v>240</v>
      </c>
      <c r="F30" s="2" t="s">
        <v>81</v>
      </c>
      <c r="G30" s="5" t="s">
        <v>233</v>
      </c>
      <c r="I30" s="83">
        <v>6</v>
      </c>
      <c r="J30" s="84" t="s">
        <v>94</v>
      </c>
      <c r="K30" s="84" t="s">
        <v>118</v>
      </c>
      <c r="L30" s="84">
        <v>1</v>
      </c>
      <c r="M30" s="85" t="s">
        <v>123</v>
      </c>
      <c r="O30" s="83">
        <v>5</v>
      </c>
      <c r="P30" s="77" t="s">
        <v>93</v>
      </c>
      <c r="Q30" s="84" t="s">
        <v>165</v>
      </c>
      <c r="R30" s="86" t="s">
        <v>20</v>
      </c>
      <c r="S30" s="85" t="s">
        <v>170</v>
      </c>
    </row>
    <row r="31" spans="2:19" ht="33.75" thickBot="1" x14ac:dyDescent="0.35">
      <c r="B31" s="33">
        <f t="shared" si="0"/>
        <v>14</v>
      </c>
      <c r="C31" s="3" t="s">
        <v>307</v>
      </c>
      <c r="D31" s="1">
        <v>1</v>
      </c>
      <c r="E31" s="102" t="s">
        <v>306</v>
      </c>
      <c r="F31" s="2" t="s">
        <v>53</v>
      </c>
      <c r="G31" s="5" t="s">
        <v>91</v>
      </c>
      <c r="I31" s="80">
        <v>7</v>
      </c>
      <c r="J31" s="66" t="s">
        <v>94</v>
      </c>
      <c r="K31" s="66" t="s">
        <v>119</v>
      </c>
      <c r="L31" s="66">
        <v>1</v>
      </c>
      <c r="M31" s="82" t="s">
        <v>86</v>
      </c>
      <c r="O31" s="83">
        <v>6</v>
      </c>
      <c r="P31" s="77" t="s">
        <v>93</v>
      </c>
      <c r="Q31" s="84" t="s">
        <v>166</v>
      </c>
      <c r="R31" s="86" t="s">
        <v>20</v>
      </c>
      <c r="S31" s="85" t="s">
        <v>171</v>
      </c>
    </row>
    <row r="32" spans="2:19" ht="17.25" thickBot="1" x14ac:dyDescent="0.35">
      <c r="B32" s="33">
        <f t="shared" si="0"/>
        <v>15</v>
      </c>
      <c r="C32" s="3" t="s">
        <v>271</v>
      </c>
      <c r="D32" s="1">
        <v>1</v>
      </c>
      <c r="E32" s="2" t="s">
        <v>243</v>
      </c>
      <c r="F32" s="2" t="s">
        <v>36</v>
      </c>
      <c r="G32" s="5" t="s">
        <v>272</v>
      </c>
      <c r="I32" s="125" t="s">
        <v>106</v>
      </c>
      <c r="J32" s="126"/>
      <c r="K32" s="127" t="s">
        <v>80</v>
      </c>
      <c r="L32" s="128"/>
      <c r="M32" s="129"/>
      <c r="O32" s="83">
        <v>7</v>
      </c>
      <c r="P32" s="77" t="s">
        <v>94</v>
      </c>
      <c r="Q32" s="77" t="s">
        <v>154</v>
      </c>
      <c r="R32" s="78" t="s">
        <v>21</v>
      </c>
      <c r="S32" s="79" t="s">
        <v>169</v>
      </c>
    </row>
    <row r="33" spans="2:19" x14ac:dyDescent="0.3">
      <c r="B33" s="33">
        <f t="shared" si="0"/>
        <v>16</v>
      </c>
      <c r="C33" s="3" t="s">
        <v>326</v>
      </c>
      <c r="D33" s="1">
        <v>1</v>
      </c>
      <c r="E33" s="1" t="s">
        <v>243</v>
      </c>
      <c r="F33" s="103" t="s">
        <v>244</v>
      </c>
      <c r="G33" s="5" t="s">
        <v>329</v>
      </c>
      <c r="O33" s="83">
        <v>8</v>
      </c>
      <c r="P33" s="84" t="s">
        <v>94</v>
      </c>
      <c r="Q33" s="84" t="s">
        <v>167</v>
      </c>
      <c r="R33" s="86" t="s">
        <v>20</v>
      </c>
      <c r="S33" s="85" t="s">
        <v>172</v>
      </c>
    </row>
    <row r="34" spans="2:19" x14ac:dyDescent="0.3">
      <c r="B34" s="33">
        <f t="shared" si="0"/>
        <v>17</v>
      </c>
      <c r="C34" s="3" t="s">
        <v>248</v>
      </c>
      <c r="D34" s="1">
        <v>6</v>
      </c>
      <c r="E34" s="1" t="s">
        <v>240</v>
      </c>
      <c r="F34" s="2" t="s">
        <v>66</v>
      </c>
      <c r="G34" s="5" t="s">
        <v>249</v>
      </c>
      <c r="O34" s="83">
        <v>9</v>
      </c>
      <c r="P34" s="84" t="s">
        <v>94</v>
      </c>
      <c r="Q34" s="84" t="s">
        <v>168</v>
      </c>
      <c r="R34" s="86" t="s">
        <v>20</v>
      </c>
      <c r="S34" s="85" t="s">
        <v>173</v>
      </c>
    </row>
    <row r="35" spans="2:19" ht="17.25" thickBot="1" x14ac:dyDescent="0.35">
      <c r="B35" s="33">
        <f t="shared" si="0"/>
        <v>18</v>
      </c>
      <c r="C35" s="3" t="s">
        <v>316</v>
      </c>
      <c r="D35" s="90" t="s">
        <v>56</v>
      </c>
      <c r="E35" s="1" t="s">
        <v>243</v>
      </c>
      <c r="F35" s="103" t="s">
        <v>244</v>
      </c>
      <c r="G35" s="5" t="s">
        <v>321</v>
      </c>
      <c r="O35" s="80">
        <v>10</v>
      </c>
      <c r="P35" s="66" t="s">
        <v>94</v>
      </c>
      <c r="Q35" s="66" t="s">
        <v>146</v>
      </c>
      <c r="R35" s="81" t="s">
        <v>20</v>
      </c>
      <c r="S35" s="82" t="s">
        <v>174</v>
      </c>
    </row>
    <row r="36" spans="2:19" ht="17.25" thickBot="1" x14ac:dyDescent="0.35">
      <c r="B36" s="33">
        <f t="shared" si="0"/>
        <v>19</v>
      </c>
      <c r="C36" s="3" t="s">
        <v>343</v>
      </c>
      <c r="D36" s="90" t="s">
        <v>56</v>
      </c>
      <c r="E36" s="1" t="s">
        <v>243</v>
      </c>
      <c r="F36" s="2" t="s">
        <v>347</v>
      </c>
      <c r="G36" s="5" t="s">
        <v>344</v>
      </c>
      <c r="O36" s="125" t="s">
        <v>106</v>
      </c>
      <c r="P36" s="126"/>
      <c r="Q36" s="127" t="s">
        <v>243</v>
      </c>
      <c r="R36" s="128"/>
      <c r="S36" s="129"/>
    </row>
    <row r="37" spans="2:19" ht="33.75" thickBot="1" x14ac:dyDescent="0.35">
      <c r="B37" s="33">
        <f t="shared" si="0"/>
        <v>20</v>
      </c>
      <c r="C37" s="3" t="s">
        <v>315</v>
      </c>
      <c r="D37" s="90" t="s">
        <v>56</v>
      </c>
      <c r="E37" s="1" t="s">
        <v>243</v>
      </c>
      <c r="F37" s="103" t="s">
        <v>364</v>
      </c>
      <c r="G37" s="5" t="s">
        <v>314</v>
      </c>
    </row>
    <row r="38" spans="2:19" ht="33" x14ac:dyDescent="0.3">
      <c r="B38" s="33">
        <f t="shared" si="0"/>
        <v>21</v>
      </c>
      <c r="C38" s="3" t="s">
        <v>356</v>
      </c>
      <c r="D38" s="90" t="s">
        <v>20</v>
      </c>
      <c r="E38" s="1" t="s">
        <v>360</v>
      </c>
      <c r="F38" s="103" t="s">
        <v>77</v>
      </c>
      <c r="G38" s="5" t="s">
        <v>362</v>
      </c>
      <c r="I38" s="122" t="s">
        <v>104</v>
      </c>
      <c r="J38" s="123"/>
      <c r="K38" s="122" t="s">
        <v>124</v>
      </c>
      <c r="L38" s="124"/>
      <c r="M38" s="123"/>
      <c r="O38" s="122" t="s">
        <v>104</v>
      </c>
      <c r="P38" s="123"/>
      <c r="Q38" s="122" t="s">
        <v>175</v>
      </c>
      <c r="R38" s="124"/>
      <c r="S38" s="123"/>
    </row>
    <row r="39" spans="2:19" ht="33" x14ac:dyDescent="0.3">
      <c r="B39" s="33">
        <f t="shared" si="0"/>
        <v>22</v>
      </c>
      <c r="C39" s="3" t="s">
        <v>357</v>
      </c>
      <c r="D39" s="90" t="s">
        <v>20</v>
      </c>
      <c r="E39" s="1" t="s">
        <v>361</v>
      </c>
      <c r="F39" s="103" t="s">
        <v>77</v>
      </c>
      <c r="G39" s="5" t="s">
        <v>363</v>
      </c>
      <c r="I39" s="132" t="s">
        <v>110</v>
      </c>
      <c r="J39" s="133"/>
      <c r="K39" s="134" t="s">
        <v>125</v>
      </c>
      <c r="L39" s="135"/>
      <c r="M39" s="136"/>
      <c r="O39" s="132" t="s">
        <v>110</v>
      </c>
      <c r="P39" s="133"/>
      <c r="Q39" s="134" t="s">
        <v>239</v>
      </c>
      <c r="R39" s="135"/>
      <c r="S39" s="136"/>
    </row>
    <row r="40" spans="2:19" x14ac:dyDescent="0.3">
      <c r="B40" s="33">
        <f t="shared" si="0"/>
        <v>23</v>
      </c>
      <c r="C40" s="3" t="s">
        <v>303</v>
      </c>
      <c r="D40" s="90" t="s">
        <v>20</v>
      </c>
      <c r="E40" s="1" t="s">
        <v>87</v>
      </c>
      <c r="F40" s="2" t="s">
        <v>65</v>
      </c>
      <c r="G40" s="5" t="s">
        <v>88</v>
      </c>
      <c r="I40" s="132" t="s">
        <v>108</v>
      </c>
      <c r="J40" s="133"/>
      <c r="K40" s="134" t="s">
        <v>109</v>
      </c>
      <c r="L40" s="135"/>
      <c r="M40" s="136"/>
      <c r="O40" s="132" t="s">
        <v>108</v>
      </c>
      <c r="P40" s="133"/>
      <c r="Q40" s="132" t="s">
        <v>65</v>
      </c>
      <c r="R40" s="137"/>
      <c r="S40" s="133"/>
    </row>
    <row r="41" spans="2:19" ht="17.25" thickBot="1" x14ac:dyDescent="0.35">
      <c r="B41" s="33">
        <f t="shared" si="0"/>
        <v>24</v>
      </c>
      <c r="C41" s="3" t="s">
        <v>236</v>
      </c>
      <c r="D41" s="101" t="s">
        <v>20</v>
      </c>
      <c r="E41" s="102" t="s">
        <v>240</v>
      </c>
      <c r="F41" s="2" t="s">
        <v>36</v>
      </c>
      <c r="G41" s="5" t="s">
        <v>237</v>
      </c>
      <c r="I41" s="138" t="s">
        <v>8</v>
      </c>
      <c r="J41" s="139"/>
      <c r="K41" s="140" t="s">
        <v>127</v>
      </c>
      <c r="L41" s="121"/>
      <c r="M41" s="141"/>
      <c r="O41" s="138" t="s">
        <v>8</v>
      </c>
      <c r="P41" s="139"/>
      <c r="Q41" s="140" t="s">
        <v>176</v>
      </c>
      <c r="R41" s="121"/>
      <c r="S41" s="141"/>
    </row>
    <row r="42" spans="2:19" ht="17.25" thickBot="1" x14ac:dyDescent="0.35">
      <c r="B42" s="33">
        <f t="shared" si="0"/>
        <v>25</v>
      </c>
      <c r="C42" s="97" t="s">
        <v>281</v>
      </c>
      <c r="D42" s="90" t="s">
        <v>21</v>
      </c>
      <c r="E42" s="33" t="s">
        <v>36</v>
      </c>
      <c r="F42" s="98" t="s">
        <v>35</v>
      </c>
      <c r="G42" s="99" t="s">
        <v>282</v>
      </c>
      <c r="I42" s="67" t="s">
        <v>41</v>
      </c>
      <c r="J42" s="130" t="s">
        <v>99</v>
      </c>
      <c r="K42" s="130"/>
      <c r="L42" s="130"/>
      <c r="M42" s="69" t="s">
        <v>8</v>
      </c>
      <c r="O42" s="67" t="s">
        <v>41</v>
      </c>
      <c r="P42" s="130" t="s">
        <v>99</v>
      </c>
      <c r="Q42" s="130"/>
      <c r="R42" s="130"/>
      <c r="S42" s="69" t="s">
        <v>8</v>
      </c>
    </row>
    <row r="43" spans="2:19" ht="17.25" thickBot="1" x14ac:dyDescent="0.35">
      <c r="B43" s="33">
        <f t="shared" si="0"/>
        <v>26</v>
      </c>
      <c r="C43" s="3" t="s">
        <v>304</v>
      </c>
      <c r="D43" s="90" t="s">
        <v>20</v>
      </c>
      <c r="E43" s="1" t="s">
        <v>87</v>
      </c>
      <c r="F43" s="2" t="s">
        <v>65</v>
      </c>
      <c r="G43" s="5" t="s">
        <v>89</v>
      </c>
      <c r="I43" s="70">
        <v>1</v>
      </c>
      <c r="J43" s="142" t="s">
        <v>20</v>
      </c>
      <c r="K43" s="142"/>
      <c r="L43" s="142"/>
      <c r="M43" s="71" t="s">
        <v>135</v>
      </c>
      <c r="O43" s="87">
        <v>1</v>
      </c>
      <c r="P43" s="131" t="s">
        <v>21</v>
      </c>
      <c r="Q43" s="131"/>
      <c r="R43" s="131"/>
      <c r="S43" s="88" t="s">
        <v>134</v>
      </c>
    </row>
    <row r="44" spans="2:19" ht="17.25" thickBot="1" x14ac:dyDescent="0.35">
      <c r="B44" s="33">
        <f t="shared" si="0"/>
        <v>27</v>
      </c>
      <c r="C44" s="3" t="s">
        <v>252</v>
      </c>
      <c r="D44" s="1">
        <v>1</v>
      </c>
      <c r="E44" s="118" t="s">
        <v>243</v>
      </c>
      <c r="F44" s="118" t="s">
        <v>244</v>
      </c>
      <c r="G44" s="5" t="s">
        <v>254</v>
      </c>
      <c r="I44" s="67" t="s">
        <v>41</v>
      </c>
      <c r="J44" s="68" t="s">
        <v>92</v>
      </c>
      <c r="K44" s="68" t="s">
        <v>1</v>
      </c>
      <c r="L44" s="68" t="s">
        <v>4</v>
      </c>
      <c r="M44" s="69" t="s">
        <v>8</v>
      </c>
      <c r="O44" s="80">
        <v>2</v>
      </c>
      <c r="P44" s="121" t="s">
        <v>20</v>
      </c>
      <c r="Q44" s="121"/>
      <c r="R44" s="121"/>
      <c r="S44" s="82" t="s">
        <v>135</v>
      </c>
    </row>
    <row r="45" spans="2:19" ht="17.25" thickBot="1" x14ac:dyDescent="0.35">
      <c r="B45" s="33">
        <f t="shared" si="0"/>
        <v>28</v>
      </c>
      <c r="C45" s="3" t="s">
        <v>273</v>
      </c>
      <c r="D45" s="1">
        <v>1</v>
      </c>
      <c r="E45" s="2" t="s">
        <v>243</v>
      </c>
      <c r="F45" s="103" t="s">
        <v>244</v>
      </c>
      <c r="G45" s="5" t="s">
        <v>276</v>
      </c>
      <c r="I45" s="72">
        <v>1</v>
      </c>
      <c r="J45" s="73" t="s">
        <v>93</v>
      </c>
      <c r="K45" s="73" t="s">
        <v>128</v>
      </c>
      <c r="L45" s="73">
        <v>6</v>
      </c>
      <c r="M45" s="75" t="s">
        <v>130</v>
      </c>
      <c r="O45" s="67" t="s">
        <v>41</v>
      </c>
      <c r="P45" s="68" t="s">
        <v>92</v>
      </c>
      <c r="Q45" s="68" t="s">
        <v>1</v>
      </c>
      <c r="R45" s="68" t="s">
        <v>4</v>
      </c>
      <c r="S45" s="69" t="s">
        <v>8</v>
      </c>
    </row>
    <row r="46" spans="2:19" x14ac:dyDescent="0.3">
      <c r="B46" s="33">
        <f t="shared" si="0"/>
        <v>29</v>
      </c>
      <c r="C46" s="3" t="s">
        <v>253</v>
      </c>
      <c r="D46" s="1">
        <v>1</v>
      </c>
      <c r="E46" s="118" t="s">
        <v>243</v>
      </c>
      <c r="F46" s="118" t="s">
        <v>244</v>
      </c>
      <c r="G46" s="5" t="s">
        <v>255</v>
      </c>
      <c r="I46" s="76">
        <v>2</v>
      </c>
      <c r="J46" s="77" t="s">
        <v>93</v>
      </c>
      <c r="K46" s="77" t="s">
        <v>116</v>
      </c>
      <c r="L46" s="77">
        <v>3</v>
      </c>
      <c r="M46" s="79" t="s">
        <v>79</v>
      </c>
      <c r="O46" s="72">
        <v>1</v>
      </c>
      <c r="P46" s="73" t="s">
        <v>93</v>
      </c>
      <c r="Q46" s="73" t="s">
        <v>5</v>
      </c>
      <c r="R46" s="73">
        <v>1</v>
      </c>
      <c r="S46" s="75" t="s">
        <v>156</v>
      </c>
    </row>
    <row r="47" spans="2:19" ht="17.25" thickBot="1" x14ac:dyDescent="0.35">
      <c r="B47" s="33">
        <f t="shared" si="0"/>
        <v>30</v>
      </c>
      <c r="C47" s="3" t="s">
        <v>224</v>
      </c>
      <c r="D47" s="90" t="s">
        <v>20</v>
      </c>
      <c r="E47" s="1" t="s">
        <v>240</v>
      </c>
      <c r="F47" s="103" t="s">
        <v>360</v>
      </c>
      <c r="G47" s="5" t="s">
        <v>226</v>
      </c>
      <c r="I47" s="80">
        <v>3</v>
      </c>
      <c r="J47" s="66" t="s">
        <v>94</v>
      </c>
      <c r="K47" s="66" t="s">
        <v>129</v>
      </c>
      <c r="L47" s="66">
        <v>4</v>
      </c>
      <c r="M47" s="82" t="s">
        <v>78</v>
      </c>
      <c r="O47" s="72">
        <v>2</v>
      </c>
      <c r="P47" s="73" t="s">
        <v>93</v>
      </c>
      <c r="Q47" s="73" t="s">
        <v>6</v>
      </c>
      <c r="R47" s="73">
        <v>1</v>
      </c>
      <c r="S47" s="75" t="s">
        <v>157</v>
      </c>
    </row>
    <row r="48" spans="2:19" ht="33.75" thickBot="1" x14ac:dyDescent="0.35">
      <c r="B48" s="33">
        <f t="shared" si="0"/>
        <v>31</v>
      </c>
      <c r="C48" s="116" t="s">
        <v>225</v>
      </c>
      <c r="D48" s="117" t="s">
        <v>20</v>
      </c>
      <c r="E48" s="115" t="s">
        <v>240</v>
      </c>
      <c r="F48" s="119" t="s">
        <v>266</v>
      </c>
      <c r="G48" s="116" t="s">
        <v>227</v>
      </c>
      <c r="I48" s="125" t="s">
        <v>106</v>
      </c>
      <c r="J48" s="126"/>
      <c r="K48" s="127" t="s">
        <v>66</v>
      </c>
      <c r="L48" s="128"/>
      <c r="M48" s="129"/>
      <c r="O48" s="83">
        <v>3</v>
      </c>
      <c r="P48" s="73" t="s">
        <v>93</v>
      </c>
      <c r="Q48" s="73" t="s">
        <v>177</v>
      </c>
      <c r="R48" s="86" t="s">
        <v>20</v>
      </c>
      <c r="S48" s="75" t="s">
        <v>182</v>
      </c>
    </row>
    <row r="49" spans="2:19" x14ac:dyDescent="0.3">
      <c r="B49" s="33">
        <f t="shared" si="0"/>
        <v>32</v>
      </c>
      <c r="C49" s="3" t="s">
        <v>308</v>
      </c>
      <c r="D49" s="1">
        <v>1</v>
      </c>
      <c r="E49" s="2" t="s">
        <v>243</v>
      </c>
      <c r="F49" s="2" t="s">
        <v>244</v>
      </c>
      <c r="G49" s="5" t="s">
        <v>310</v>
      </c>
      <c r="O49" s="83">
        <v>4</v>
      </c>
      <c r="P49" s="77" t="s">
        <v>93</v>
      </c>
      <c r="Q49" s="84" t="s">
        <v>178</v>
      </c>
      <c r="R49" s="84">
        <v>1</v>
      </c>
      <c r="S49" s="85" t="s">
        <v>183</v>
      </c>
    </row>
    <row r="50" spans="2:19" ht="17.25" thickBot="1" x14ac:dyDescent="0.35">
      <c r="B50" s="120">
        <f t="shared" si="0"/>
        <v>33</v>
      </c>
      <c r="C50" s="3" t="s">
        <v>288</v>
      </c>
      <c r="D50" s="90" t="s">
        <v>49</v>
      </c>
      <c r="E50" s="1" t="s">
        <v>47</v>
      </c>
      <c r="F50" s="1" t="s">
        <v>289</v>
      </c>
      <c r="G50" s="5" t="s">
        <v>54</v>
      </c>
      <c r="O50" s="83">
        <v>5</v>
      </c>
      <c r="P50" s="77" t="s">
        <v>93</v>
      </c>
      <c r="Q50" s="84" t="s">
        <v>179</v>
      </c>
      <c r="R50" s="86" t="s">
        <v>20</v>
      </c>
      <c r="S50" s="85" t="s">
        <v>183</v>
      </c>
    </row>
    <row r="51" spans="2:19" x14ac:dyDescent="0.3">
      <c r="B51" s="33">
        <f t="shared" ref="B51:B82" si="1">IF(C51="","",B50+1)</f>
        <v>34</v>
      </c>
      <c r="C51" s="3" t="s">
        <v>289</v>
      </c>
      <c r="D51" s="90" t="s">
        <v>20</v>
      </c>
      <c r="E51" s="1" t="s">
        <v>288</v>
      </c>
      <c r="F51" s="2" t="s">
        <v>40</v>
      </c>
      <c r="G51" s="5" t="s">
        <v>52</v>
      </c>
      <c r="I51" s="122" t="s">
        <v>104</v>
      </c>
      <c r="J51" s="123"/>
      <c r="K51" s="122" t="s">
        <v>131</v>
      </c>
      <c r="L51" s="124"/>
      <c r="M51" s="123"/>
      <c r="O51" s="83">
        <v>6</v>
      </c>
      <c r="P51" s="77" t="s">
        <v>93</v>
      </c>
      <c r="Q51" s="84" t="s">
        <v>165</v>
      </c>
      <c r="R51" s="86" t="s">
        <v>20</v>
      </c>
      <c r="S51" s="85" t="s">
        <v>170</v>
      </c>
    </row>
    <row r="52" spans="2:19" ht="33" x14ac:dyDescent="0.3">
      <c r="B52" s="33">
        <f t="shared" si="1"/>
        <v>35</v>
      </c>
      <c r="C52" s="3" t="s">
        <v>228</v>
      </c>
      <c r="D52" s="90" t="s">
        <v>20</v>
      </c>
      <c r="E52" s="1" t="s">
        <v>240</v>
      </c>
      <c r="F52" s="103" t="s">
        <v>48</v>
      </c>
      <c r="G52" s="5" t="s">
        <v>230</v>
      </c>
      <c r="I52" s="132" t="s">
        <v>110</v>
      </c>
      <c r="J52" s="133"/>
      <c r="K52" s="134" t="s">
        <v>132</v>
      </c>
      <c r="L52" s="135"/>
      <c r="M52" s="136"/>
      <c r="O52" s="83">
        <v>7</v>
      </c>
      <c r="P52" s="77" t="s">
        <v>94</v>
      </c>
      <c r="Q52" s="77" t="s">
        <v>180</v>
      </c>
      <c r="R52" s="86" t="s">
        <v>20</v>
      </c>
      <c r="S52" s="79" t="s">
        <v>184</v>
      </c>
    </row>
    <row r="53" spans="2:19" x14ac:dyDescent="0.3">
      <c r="B53" s="33">
        <f t="shared" si="1"/>
        <v>36</v>
      </c>
      <c r="C53" s="3" t="s">
        <v>194</v>
      </c>
      <c r="D53" s="90" t="s">
        <v>20</v>
      </c>
      <c r="E53" s="1" t="s">
        <v>241</v>
      </c>
      <c r="F53" s="2" t="s">
        <v>65</v>
      </c>
      <c r="G53" s="5" t="s">
        <v>195</v>
      </c>
      <c r="I53" s="132" t="s">
        <v>108</v>
      </c>
      <c r="J53" s="133"/>
      <c r="K53" s="134" t="s">
        <v>109</v>
      </c>
      <c r="L53" s="135"/>
      <c r="M53" s="136"/>
      <c r="O53" s="83">
        <v>8</v>
      </c>
      <c r="P53" s="84" t="s">
        <v>94</v>
      </c>
      <c r="Q53" s="84" t="s">
        <v>119</v>
      </c>
      <c r="R53" s="84">
        <v>1</v>
      </c>
      <c r="S53" s="85" t="s">
        <v>185</v>
      </c>
    </row>
    <row r="54" spans="2:19" ht="33.75" thickBot="1" x14ac:dyDescent="0.35">
      <c r="B54" s="33">
        <f t="shared" si="1"/>
        <v>37</v>
      </c>
      <c r="C54" s="3" t="s">
        <v>198</v>
      </c>
      <c r="D54" s="90" t="s">
        <v>21</v>
      </c>
      <c r="E54" s="1" t="s">
        <v>241</v>
      </c>
      <c r="F54" s="103" t="s">
        <v>260</v>
      </c>
      <c r="G54" s="99" t="s">
        <v>196</v>
      </c>
      <c r="I54" s="138" t="s">
        <v>8</v>
      </c>
      <c r="J54" s="139"/>
      <c r="K54" s="140" t="s">
        <v>133</v>
      </c>
      <c r="L54" s="121"/>
      <c r="M54" s="141"/>
      <c r="O54" s="83">
        <v>9</v>
      </c>
      <c r="P54" s="84" t="s">
        <v>94</v>
      </c>
      <c r="Q54" s="84" t="s">
        <v>181</v>
      </c>
      <c r="R54" s="86" t="s">
        <v>20</v>
      </c>
      <c r="S54" s="85" t="s">
        <v>29</v>
      </c>
    </row>
    <row r="55" spans="2:19" ht="17.25" thickBot="1" x14ac:dyDescent="0.35">
      <c r="B55" s="33">
        <f t="shared" si="1"/>
        <v>38</v>
      </c>
      <c r="C55" s="3" t="s">
        <v>200</v>
      </c>
      <c r="D55" s="1">
        <v>3</v>
      </c>
      <c r="E55" s="1" t="s">
        <v>58</v>
      </c>
      <c r="F55" s="2" t="s">
        <v>243</v>
      </c>
      <c r="G55" s="5" t="s">
        <v>214</v>
      </c>
      <c r="I55" s="67" t="s">
        <v>41</v>
      </c>
      <c r="J55" s="130" t="s">
        <v>99</v>
      </c>
      <c r="K55" s="130"/>
      <c r="L55" s="130"/>
      <c r="M55" s="69" t="s">
        <v>8</v>
      </c>
      <c r="O55" s="80">
        <v>10</v>
      </c>
      <c r="P55" s="66" t="s">
        <v>94</v>
      </c>
      <c r="Q55" s="66" t="s">
        <v>168</v>
      </c>
      <c r="R55" s="81" t="s">
        <v>20</v>
      </c>
      <c r="S55" s="82" t="s">
        <v>29</v>
      </c>
    </row>
    <row r="56" spans="2:19" ht="17.25" thickBot="1" x14ac:dyDescent="0.35">
      <c r="B56" s="33">
        <f t="shared" si="1"/>
        <v>39</v>
      </c>
      <c r="C56" s="3" t="s">
        <v>207</v>
      </c>
      <c r="D56" s="1">
        <v>1</v>
      </c>
      <c r="E56" s="1" t="s">
        <v>58</v>
      </c>
      <c r="F56" s="2" t="s">
        <v>243</v>
      </c>
      <c r="G56" s="5" t="s">
        <v>221</v>
      </c>
      <c r="I56" s="87">
        <v>1</v>
      </c>
      <c r="J56" s="131" t="s">
        <v>20</v>
      </c>
      <c r="K56" s="131"/>
      <c r="L56" s="131"/>
      <c r="M56" s="88" t="s">
        <v>135</v>
      </c>
      <c r="O56" s="125" t="s">
        <v>106</v>
      </c>
      <c r="P56" s="126"/>
      <c r="Q56" s="127" t="s">
        <v>244</v>
      </c>
      <c r="R56" s="128"/>
      <c r="S56" s="129"/>
    </row>
    <row r="57" spans="2:19" ht="33.75" thickBot="1" x14ac:dyDescent="0.35">
      <c r="B57" s="33">
        <f t="shared" si="1"/>
        <v>40</v>
      </c>
      <c r="C57" s="3" t="s">
        <v>202</v>
      </c>
      <c r="D57" s="1">
        <v>1</v>
      </c>
      <c r="E57" s="1" t="s">
        <v>58</v>
      </c>
      <c r="F57" s="2" t="s">
        <v>240</v>
      </c>
      <c r="G57" s="5" t="s">
        <v>216</v>
      </c>
      <c r="I57" s="80">
        <v>2</v>
      </c>
      <c r="J57" s="121" t="s">
        <v>55</v>
      </c>
      <c r="K57" s="121"/>
      <c r="L57" s="121"/>
      <c r="M57" s="89" t="s">
        <v>136</v>
      </c>
    </row>
    <row r="58" spans="2:19" ht="17.25" thickBot="1" x14ac:dyDescent="0.35">
      <c r="B58" s="33">
        <f t="shared" si="1"/>
        <v>41</v>
      </c>
      <c r="C58" s="3" t="s">
        <v>208</v>
      </c>
      <c r="D58" s="1">
        <v>1</v>
      </c>
      <c r="E58" s="1" t="s">
        <v>58</v>
      </c>
      <c r="F58" s="2" t="s">
        <v>243</v>
      </c>
      <c r="G58" s="5" t="s">
        <v>222</v>
      </c>
      <c r="I58" s="67" t="s">
        <v>41</v>
      </c>
      <c r="J58" s="68" t="s">
        <v>92</v>
      </c>
      <c r="K58" s="68" t="s">
        <v>1</v>
      </c>
      <c r="L58" s="68" t="s">
        <v>4</v>
      </c>
      <c r="M58" s="69" t="s">
        <v>8</v>
      </c>
      <c r="O58" s="122" t="s">
        <v>104</v>
      </c>
      <c r="P58" s="123"/>
      <c r="Q58" s="122" t="s">
        <v>186</v>
      </c>
      <c r="R58" s="124"/>
      <c r="S58" s="123"/>
    </row>
    <row r="59" spans="2:19" x14ac:dyDescent="0.3">
      <c r="B59" s="33">
        <f t="shared" si="1"/>
        <v>42</v>
      </c>
      <c r="C59" s="3" t="s">
        <v>201</v>
      </c>
      <c r="D59" s="1">
        <v>1</v>
      </c>
      <c r="E59" s="1" t="s">
        <v>58</v>
      </c>
      <c r="F59" s="1" t="s">
        <v>243</v>
      </c>
      <c r="G59" s="5" t="s">
        <v>215</v>
      </c>
      <c r="I59" s="72">
        <v>1</v>
      </c>
      <c r="J59" s="73" t="s">
        <v>93</v>
      </c>
      <c r="K59" s="73" t="s">
        <v>137</v>
      </c>
      <c r="L59" s="74" t="s">
        <v>55</v>
      </c>
      <c r="M59" s="75" t="s">
        <v>59</v>
      </c>
      <c r="O59" s="132" t="s">
        <v>110</v>
      </c>
      <c r="P59" s="133"/>
      <c r="Q59" s="134" t="s">
        <v>239</v>
      </c>
      <c r="R59" s="135"/>
      <c r="S59" s="136"/>
    </row>
    <row r="60" spans="2:19" x14ac:dyDescent="0.3">
      <c r="B60" s="33">
        <f t="shared" si="1"/>
        <v>43</v>
      </c>
      <c r="C60" s="3" t="s">
        <v>296</v>
      </c>
      <c r="D60" s="90" t="s">
        <v>57</v>
      </c>
      <c r="E60" s="1" t="s">
        <v>44</v>
      </c>
      <c r="F60" s="2" t="s">
        <v>43</v>
      </c>
      <c r="G60" s="5" t="s">
        <v>61</v>
      </c>
      <c r="I60" s="76">
        <v>2</v>
      </c>
      <c r="J60" s="84" t="s">
        <v>94</v>
      </c>
      <c r="K60" s="77" t="s">
        <v>138</v>
      </c>
      <c r="L60" s="77">
        <v>1</v>
      </c>
      <c r="M60" s="79" t="s">
        <v>67</v>
      </c>
      <c r="O60" s="132" t="s">
        <v>108</v>
      </c>
      <c r="P60" s="133"/>
      <c r="Q60" s="132" t="s">
        <v>65</v>
      </c>
      <c r="R60" s="137"/>
      <c r="S60" s="133"/>
    </row>
    <row r="61" spans="2:19" ht="17.25" thickBot="1" x14ac:dyDescent="0.35">
      <c r="B61" s="33">
        <f t="shared" si="1"/>
        <v>44</v>
      </c>
      <c r="C61" s="3" t="s">
        <v>246</v>
      </c>
      <c r="D61" s="1">
        <v>6</v>
      </c>
      <c r="E61" s="1" t="s">
        <v>44</v>
      </c>
      <c r="F61" s="2" t="s">
        <v>243</v>
      </c>
      <c r="G61" s="5" t="s">
        <v>247</v>
      </c>
      <c r="I61" s="83">
        <v>3</v>
      </c>
      <c r="J61" s="84" t="s">
        <v>94</v>
      </c>
      <c r="K61" s="84" t="s">
        <v>139</v>
      </c>
      <c r="L61" s="84">
        <v>1</v>
      </c>
      <c r="M61" s="85" t="s">
        <v>147</v>
      </c>
      <c r="O61" s="138" t="s">
        <v>8</v>
      </c>
      <c r="P61" s="139"/>
      <c r="Q61" s="140" t="s">
        <v>187</v>
      </c>
      <c r="R61" s="121"/>
      <c r="S61" s="141"/>
    </row>
    <row r="62" spans="2:19" ht="33.75" thickBot="1" x14ac:dyDescent="0.35">
      <c r="B62" s="33">
        <f t="shared" si="1"/>
        <v>45</v>
      </c>
      <c r="C62" s="97" t="s">
        <v>283</v>
      </c>
      <c r="D62" s="101" t="s">
        <v>45</v>
      </c>
      <c r="E62" s="33" t="s">
        <v>44</v>
      </c>
      <c r="F62" s="98" t="s">
        <v>42</v>
      </c>
      <c r="G62" s="99" t="s">
        <v>50</v>
      </c>
      <c r="I62" s="83">
        <v>4</v>
      </c>
      <c r="J62" s="84" t="s">
        <v>94</v>
      </c>
      <c r="K62" s="84" t="s">
        <v>140</v>
      </c>
      <c r="L62" s="84">
        <v>1</v>
      </c>
      <c r="M62" s="85" t="s">
        <v>148</v>
      </c>
      <c r="O62" s="67" t="s">
        <v>41</v>
      </c>
      <c r="P62" s="130" t="s">
        <v>99</v>
      </c>
      <c r="Q62" s="130"/>
      <c r="R62" s="130"/>
      <c r="S62" s="69" t="s">
        <v>8</v>
      </c>
    </row>
    <row r="63" spans="2:19" x14ac:dyDescent="0.3">
      <c r="B63" s="33">
        <f t="shared" si="1"/>
        <v>46</v>
      </c>
      <c r="C63" s="3" t="s">
        <v>291</v>
      </c>
      <c r="D63" s="90" t="s">
        <v>55</v>
      </c>
      <c r="E63" s="1" t="s">
        <v>44</v>
      </c>
      <c r="F63" s="2" t="s">
        <v>58</v>
      </c>
      <c r="G63" s="5" t="s">
        <v>59</v>
      </c>
      <c r="I63" s="83">
        <v>5</v>
      </c>
      <c r="J63" s="84" t="s">
        <v>94</v>
      </c>
      <c r="K63" s="84" t="s">
        <v>141</v>
      </c>
      <c r="L63" s="84">
        <v>1</v>
      </c>
      <c r="M63" s="85" t="s">
        <v>68</v>
      </c>
      <c r="O63" s="87">
        <v>1</v>
      </c>
      <c r="P63" s="131" t="s">
        <v>21</v>
      </c>
      <c r="Q63" s="131"/>
      <c r="R63" s="131"/>
      <c r="S63" s="88" t="s">
        <v>134</v>
      </c>
    </row>
    <row r="64" spans="2:19" ht="17.25" thickBot="1" x14ac:dyDescent="0.35">
      <c r="B64" s="33">
        <f t="shared" si="1"/>
        <v>47</v>
      </c>
      <c r="C64" s="3" t="s">
        <v>294</v>
      </c>
      <c r="D64" s="90" t="s">
        <v>56</v>
      </c>
      <c r="E64" s="1" t="s">
        <v>44</v>
      </c>
      <c r="F64" s="2" t="s">
        <v>243</v>
      </c>
      <c r="G64" s="5" t="s">
        <v>313</v>
      </c>
      <c r="I64" s="83">
        <v>6</v>
      </c>
      <c r="J64" s="84" t="s">
        <v>94</v>
      </c>
      <c r="K64" s="84" t="s">
        <v>142</v>
      </c>
      <c r="L64" s="84">
        <v>1</v>
      </c>
      <c r="M64" s="85" t="s">
        <v>69</v>
      </c>
      <c r="O64" s="80">
        <v>2</v>
      </c>
      <c r="P64" s="121" t="s">
        <v>20</v>
      </c>
      <c r="Q64" s="121"/>
      <c r="R64" s="121"/>
      <c r="S64" s="82" t="s">
        <v>135</v>
      </c>
    </row>
    <row r="65" spans="2:19" ht="33.75" thickBot="1" x14ac:dyDescent="0.35">
      <c r="B65" s="33">
        <f t="shared" si="1"/>
        <v>48</v>
      </c>
      <c r="C65" s="3" t="s">
        <v>292</v>
      </c>
      <c r="D65" s="90" t="s">
        <v>56</v>
      </c>
      <c r="E65" s="1" t="s">
        <v>44</v>
      </c>
      <c r="F65" s="103" t="s">
        <v>346</v>
      </c>
      <c r="G65" s="5" t="s">
        <v>345</v>
      </c>
      <c r="I65" s="83">
        <v>7</v>
      </c>
      <c r="J65" s="84" t="s">
        <v>94</v>
      </c>
      <c r="K65" s="84" t="s">
        <v>143</v>
      </c>
      <c r="L65" s="84">
        <v>1</v>
      </c>
      <c r="M65" s="85" t="s">
        <v>70</v>
      </c>
      <c r="O65" s="67" t="s">
        <v>41</v>
      </c>
      <c r="P65" s="68" t="s">
        <v>92</v>
      </c>
      <c r="Q65" s="68" t="s">
        <v>1</v>
      </c>
      <c r="R65" s="68" t="s">
        <v>4</v>
      </c>
      <c r="S65" s="69" t="s">
        <v>8</v>
      </c>
    </row>
    <row r="66" spans="2:19" x14ac:dyDescent="0.3">
      <c r="B66" s="33">
        <f t="shared" si="1"/>
        <v>49</v>
      </c>
      <c r="C66" s="3" t="s">
        <v>293</v>
      </c>
      <c r="D66" s="90" t="s">
        <v>56</v>
      </c>
      <c r="E66" s="1" t="s">
        <v>44</v>
      </c>
      <c r="F66" s="2" t="s">
        <v>62</v>
      </c>
      <c r="G66" s="5" t="s">
        <v>314</v>
      </c>
      <c r="I66" s="83">
        <v>8</v>
      </c>
      <c r="J66" s="84" t="s">
        <v>94</v>
      </c>
      <c r="K66" s="84" t="s">
        <v>144</v>
      </c>
      <c r="L66" s="84">
        <v>1</v>
      </c>
      <c r="M66" s="85" t="s">
        <v>71</v>
      </c>
      <c r="O66" s="72">
        <v>1</v>
      </c>
      <c r="P66" s="73" t="s">
        <v>93</v>
      </c>
      <c r="Q66" s="73" t="s">
        <v>5</v>
      </c>
      <c r="R66" s="73">
        <v>1</v>
      </c>
      <c r="S66" s="75" t="s">
        <v>156</v>
      </c>
    </row>
    <row r="67" spans="2:19" x14ac:dyDescent="0.3">
      <c r="B67" s="33">
        <f t="shared" si="1"/>
        <v>50</v>
      </c>
      <c r="C67" s="3" t="s">
        <v>295</v>
      </c>
      <c r="D67" s="1">
        <v>5</v>
      </c>
      <c r="E67" s="1" t="s">
        <v>44</v>
      </c>
      <c r="F67" s="2" t="s">
        <v>65</v>
      </c>
      <c r="G67" s="5" t="s">
        <v>60</v>
      </c>
      <c r="I67" s="83">
        <v>9</v>
      </c>
      <c r="J67" s="84" t="s">
        <v>94</v>
      </c>
      <c r="K67" s="84" t="s">
        <v>129</v>
      </c>
      <c r="L67" s="84">
        <v>3</v>
      </c>
      <c r="M67" s="85" t="s">
        <v>79</v>
      </c>
      <c r="O67" s="72">
        <v>2</v>
      </c>
      <c r="P67" s="73" t="s">
        <v>93</v>
      </c>
      <c r="Q67" s="73" t="s">
        <v>6</v>
      </c>
      <c r="R67" s="73">
        <v>1</v>
      </c>
      <c r="S67" s="75" t="s">
        <v>157</v>
      </c>
    </row>
    <row r="68" spans="2:19" ht="33" x14ac:dyDescent="0.3">
      <c r="B68" s="33">
        <f t="shared" si="1"/>
        <v>51</v>
      </c>
      <c r="C68" s="3" t="s">
        <v>234</v>
      </c>
      <c r="D68" s="101" t="s">
        <v>20</v>
      </c>
      <c r="E68" s="102" t="s">
        <v>287</v>
      </c>
      <c r="F68" s="2" t="s">
        <v>243</v>
      </c>
      <c r="G68" s="5" t="s">
        <v>235</v>
      </c>
      <c r="I68" s="83">
        <v>10</v>
      </c>
      <c r="J68" s="84" t="s">
        <v>94</v>
      </c>
      <c r="K68" s="84" t="s">
        <v>145</v>
      </c>
      <c r="L68" s="84">
        <v>1</v>
      </c>
      <c r="M68" s="85" t="s">
        <v>72</v>
      </c>
      <c r="O68" s="83">
        <v>3</v>
      </c>
      <c r="P68" s="84" t="s">
        <v>93</v>
      </c>
      <c r="Q68" s="84" t="s">
        <v>188</v>
      </c>
      <c r="R68" s="86" t="s">
        <v>20</v>
      </c>
      <c r="S68" s="85" t="s">
        <v>28</v>
      </c>
    </row>
    <row r="69" spans="2:19" x14ac:dyDescent="0.3">
      <c r="B69" s="33">
        <f t="shared" si="1"/>
        <v>52</v>
      </c>
      <c r="C69" s="3" t="s">
        <v>205</v>
      </c>
      <c r="D69" s="1">
        <v>1</v>
      </c>
      <c r="E69" s="1" t="s">
        <v>58</v>
      </c>
      <c r="F69" s="118" t="s">
        <v>243</v>
      </c>
      <c r="G69" s="5" t="s">
        <v>219</v>
      </c>
      <c r="I69" s="83">
        <v>11</v>
      </c>
      <c r="J69" s="84" t="s">
        <v>94</v>
      </c>
      <c r="K69" s="84" t="s">
        <v>146</v>
      </c>
      <c r="L69" s="84">
        <v>1</v>
      </c>
      <c r="M69" s="85" t="s">
        <v>73</v>
      </c>
      <c r="O69" s="83">
        <v>4</v>
      </c>
      <c r="P69" s="84" t="s">
        <v>93</v>
      </c>
      <c r="Q69" s="84" t="s">
        <v>179</v>
      </c>
      <c r="R69" s="86" t="s">
        <v>20</v>
      </c>
      <c r="S69" s="85" t="s">
        <v>183</v>
      </c>
    </row>
    <row r="70" spans="2:19" x14ac:dyDescent="0.3">
      <c r="B70" s="33">
        <f t="shared" si="1"/>
        <v>53</v>
      </c>
      <c r="C70" s="3" t="s">
        <v>203</v>
      </c>
      <c r="D70" s="1">
        <v>1</v>
      </c>
      <c r="E70" s="1" t="s">
        <v>58</v>
      </c>
      <c r="F70" s="2" t="s">
        <v>240</v>
      </c>
      <c r="G70" s="5" t="s">
        <v>217</v>
      </c>
      <c r="I70" s="83">
        <v>12</v>
      </c>
      <c r="J70" s="84" t="s">
        <v>94</v>
      </c>
      <c r="K70" s="84" t="s">
        <v>18</v>
      </c>
      <c r="L70" s="84">
        <v>1</v>
      </c>
      <c r="M70" s="85" t="s">
        <v>149</v>
      </c>
      <c r="O70" s="83">
        <v>5</v>
      </c>
      <c r="P70" s="84" t="s">
        <v>94</v>
      </c>
      <c r="Q70" s="84" t="s">
        <v>189</v>
      </c>
      <c r="R70" s="86" t="s">
        <v>20</v>
      </c>
      <c r="S70" s="85" t="s">
        <v>190</v>
      </c>
    </row>
    <row r="71" spans="2:19" ht="17.25" thickBot="1" x14ac:dyDescent="0.35">
      <c r="B71" s="33">
        <f t="shared" si="1"/>
        <v>54</v>
      </c>
      <c r="C71" s="3" t="s">
        <v>206</v>
      </c>
      <c r="D71" s="1">
        <v>1</v>
      </c>
      <c r="E71" s="1" t="s">
        <v>58</v>
      </c>
      <c r="F71" s="118" t="s">
        <v>243</v>
      </c>
      <c r="G71" s="5" t="s">
        <v>220</v>
      </c>
      <c r="I71" s="80">
        <v>13</v>
      </c>
      <c r="J71" s="66" t="s">
        <v>93</v>
      </c>
      <c r="K71" s="66" t="s">
        <v>19</v>
      </c>
      <c r="L71" s="66">
        <v>1</v>
      </c>
      <c r="M71" s="82" t="s">
        <v>150</v>
      </c>
      <c r="O71" s="83">
        <v>6</v>
      </c>
      <c r="P71" s="84" t="s">
        <v>94</v>
      </c>
      <c r="Q71" s="84" t="s">
        <v>181</v>
      </c>
      <c r="R71" s="86" t="s">
        <v>20</v>
      </c>
      <c r="S71" s="85" t="s">
        <v>191</v>
      </c>
    </row>
    <row r="72" spans="2:19" ht="17.25" thickBot="1" x14ac:dyDescent="0.35">
      <c r="B72" s="33">
        <f t="shared" si="1"/>
        <v>55</v>
      </c>
      <c r="C72" s="3" t="s">
        <v>210</v>
      </c>
      <c r="D72" s="90" t="s">
        <v>20</v>
      </c>
      <c r="E72" s="1" t="s">
        <v>62</v>
      </c>
      <c r="F72" s="115" t="s">
        <v>240</v>
      </c>
      <c r="G72" s="5" t="s">
        <v>212</v>
      </c>
      <c r="I72" s="125" t="s">
        <v>106</v>
      </c>
      <c r="J72" s="126"/>
      <c r="K72" s="127" t="s">
        <v>58</v>
      </c>
      <c r="L72" s="128"/>
      <c r="M72" s="129"/>
      <c r="O72" s="125" t="s">
        <v>106</v>
      </c>
      <c r="P72" s="126"/>
      <c r="Q72" s="127" t="s">
        <v>245</v>
      </c>
      <c r="R72" s="128"/>
      <c r="S72" s="129"/>
    </row>
    <row r="73" spans="2:19" x14ac:dyDescent="0.3">
      <c r="B73" s="33">
        <f t="shared" si="1"/>
        <v>56</v>
      </c>
      <c r="C73" s="116" t="s">
        <v>211</v>
      </c>
      <c r="D73" s="117" t="s">
        <v>20</v>
      </c>
      <c r="E73" s="1" t="s">
        <v>62</v>
      </c>
      <c r="F73" s="115" t="s">
        <v>240</v>
      </c>
      <c r="G73" s="116" t="s">
        <v>213</v>
      </c>
    </row>
    <row r="74" spans="2:19" x14ac:dyDescent="0.3">
      <c r="B74" s="33">
        <f t="shared" si="1"/>
        <v>57</v>
      </c>
      <c r="C74" s="3" t="s">
        <v>204</v>
      </c>
      <c r="D74" s="1">
        <v>1</v>
      </c>
      <c r="E74" s="1" t="s">
        <v>58</v>
      </c>
      <c r="F74" s="2" t="s">
        <v>243</v>
      </c>
      <c r="G74" s="5" t="s">
        <v>218</v>
      </c>
    </row>
    <row r="75" spans="2:19" ht="49.5" x14ac:dyDescent="0.3">
      <c r="B75" s="33">
        <f t="shared" si="1"/>
        <v>58</v>
      </c>
      <c r="C75" s="3" t="s">
        <v>286</v>
      </c>
      <c r="D75" s="101" t="s">
        <v>46</v>
      </c>
      <c r="E75" s="1" t="s">
        <v>42</v>
      </c>
      <c r="F75" s="2" t="s">
        <v>234</v>
      </c>
      <c r="G75" s="5" t="s">
        <v>51</v>
      </c>
    </row>
    <row r="76" spans="2:19" x14ac:dyDescent="0.3">
      <c r="B76" s="33">
        <f t="shared" si="1"/>
        <v>59</v>
      </c>
      <c r="C76" s="3" t="s">
        <v>209</v>
      </c>
      <c r="D76" s="1">
        <v>1</v>
      </c>
      <c r="E76" s="1" t="s">
        <v>58</v>
      </c>
      <c r="F76" s="2" t="s">
        <v>43</v>
      </c>
      <c r="G76" s="5" t="s">
        <v>223</v>
      </c>
    </row>
    <row r="77" spans="2:19" x14ac:dyDescent="0.3">
      <c r="B77" s="33">
        <f t="shared" si="1"/>
        <v>60</v>
      </c>
      <c r="C77" s="3" t="s">
        <v>231</v>
      </c>
      <c r="D77" s="90" t="s">
        <v>20</v>
      </c>
      <c r="E77" s="1" t="s">
        <v>43</v>
      </c>
      <c r="F77" s="103" t="s">
        <v>240</v>
      </c>
      <c r="G77" s="5" t="s">
        <v>229</v>
      </c>
    </row>
    <row r="78" spans="2:19" x14ac:dyDescent="0.3">
      <c r="B78" s="33">
        <f t="shared" si="1"/>
        <v>61</v>
      </c>
      <c r="C78" s="97" t="s">
        <v>192</v>
      </c>
      <c r="D78" s="90" t="s">
        <v>21</v>
      </c>
      <c r="E78" s="33" t="s">
        <v>39</v>
      </c>
      <c r="F78" s="98" t="s">
        <v>242</v>
      </c>
      <c r="G78" s="99" t="s">
        <v>193</v>
      </c>
    </row>
    <row r="79" spans="2:19" ht="33" x14ac:dyDescent="0.3">
      <c r="B79" s="33">
        <f t="shared" si="1"/>
        <v>62</v>
      </c>
      <c r="C79" s="93" t="s">
        <v>284</v>
      </c>
      <c r="D79" s="94" t="s">
        <v>21</v>
      </c>
      <c r="E79" s="92" t="s">
        <v>35</v>
      </c>
      <c r="F79" s="95" t="s">
        <v>75</v>
      </c>
      <c r="G79" s="96" t="s">
        <v>37</v>
      </c>
    </row>
    <row r="80" spans="2:19" x14ac:dyDescent="0.3">
      <c r="B80" s="33">
        <f t="shared" si="1"/>
        <v>63</v>
      </c>
      <c r="C80" s="93" t="s">
        <v>285</v>
      </c>
      <c r="D80" s="92">
        <v>1</v>
      </c>
      <c r="E80" s="92" t="s">
        <v>35</v>
      </c>
      <c r="F80" s="100" t="s">
        <v>11</v>
      </c>
      <c r="G80" s="96" t="s">
        <v>38</v>
      </c>
    </row>
    <row r="81" spans="2:7" x14ac:dyDescent="0.3">
      <c r="B81" s="33">
        <f t="shared" si="1"/>
        <v>64</v>
      </c>
      <c r="C81" s="3" t="s">
        <v>351</v>
      </c>
      <c r="D81" s="90" t="s">
        <v>21</v>
      </c>
      <c r="E81" s="1" t="s">
        <v>352</v>
      </c>
      <c r="F81" s="2" t="s">
        <v>35</v>
      </c>
      <c r="G81" s="5" t="s">
        <v>353</v>
      </c>
    </row>
    <row r="82" spans="2:7" ht="66" x14ac:dyDescent="0.3">
      <c r="B82" s="33">
        <f t="shared" si="1"/>
        <v>65</v>
      </c>
      <c r="C82" s="104" t="s">
        <v>262</v>
      </c>
      <c r="D82" s="113" t="s">
        <v>20</v>
      </c>
      <c r="E82" s="105" t="s">
        <v>244</v>
      </c>
      <c r="F82" s="114" t="s">
        <v>365</v>
      </c>
      <c r="G82" s="107" t="s">
        <v>265</v>
      </c>
    </row>
    <row r="83" spans="2:7" ht="33" x14ac:dyDescent="0.3">
      <c r="B83" s="33">
        <f t="shared" ref="B83:B114" si="2">IF(C83="","",B82+1)</f>
        <v>66</v>
      </c>
      <c r="C83" s="3" t="s">
        <v>327</v>
      </c>
      <c r="D83" s="1">
        <v>1</v>
      </c>
      <c r="E83" s="103" t="s">
        <v>244</v>
      </c>
      <c r="F83" s="103" t="s">
        <v>340</v>
      </c>
      <c r="G83" s="5" t="s">
        <v>330</v>
      </c>
    </row>
    <row r="84" spans="2:7" ht="33" x14ac:dyDescent="0.3">
      <c r="B84" s="33">
        <f t="shared" si="2"/>
        <v>67</v>
      </c>
      <c r="C84" s="3" t="s">
        <v>339</v>
      </c>
      <c r="D84" s="1">
        <v>1</v>
      </c>
      <c r="E84" s="2" t="s">
        <v>244</v>
      </c>
      <c r="F84" s="103" t="s">
        <v>340</v>
      </c>
      <c r="G84" s="5" t="s">
        <v>311</v>
      </c>
    </row>
    <row r="85" spans="2:7" ht="33" x14ac:dyDescent="0.3">
      <c r="B85" s="33">
        <f t="shared" si="2"/>
        <v>68</v>
      </c>
      <c r="C85" s="3" t="s">
        <v>318</v>
      </c>
      <c r="D85" s="90" t="s">
        <v>56</v>
      </c>
      <c r="E85" s="103" t="s">
        <v>244</v>
      </c>
      <c r="F85" s="103" t="s">
        <v>340</v>
      </c>
      <c r="G85" s="5" t="s">
        <v>323</v>
      </c>
    </row>
    <row r="86" spans="2:7" ht="33" x14ac:dyDescent="0.3">
      <c r="B86" s="33">
        <f t="shared" si="2"/>
        <v>69</v>
      </c>
      <c r="C86" s="3" t="s">
        <v>317</v>
      </c>
      <c r="D86" s="90" t="s">
        <v>56</v>
      </c>
      <c r="E86" s="103" t="s">
        <v>244</v>
      </c>
      <c r="F86" s="103" t="s">
        <v>340</v>
      </c>
      <c r="G86" s="5" t="s">
        <v>322</v>
      </c>
    </row>
    <row r="87" spans="2:7" x14ac:dyDescent="0.3">
      <c r="B87" s="33">
        <f t="shared" si="2"/>
        <v>70</v>
      </c>
      <c r="C87" s="104" t="s">
        <v>256</v>
      </c>
      <c r="D87" s="105">
        <v>1</v>
      </c>
      <c r="E87" s="105" t="s">
        <v>244</v>
      </c>
      <c r="F87" s="106" t="s">
        <v>14</v>
      </c>
      <c r="G87" s="107" t="s">
        <v>258</v>
      </c>
    </row>
    <row r="88" spans="2:7" x14ac:dyDescent="0.3">
      <c r="B88" s="33">
        <f t="shared" si="2"/>
        <v>71</v>
      </c>
      <c r="C88" s="3" t="s">
        <v>274</v>
      </c>
      <c r="D88" s="1">
        <v>1</v>
      </c>
      <c r="E88" s="2" t="s">
        <v>244</v>
      </c>
      <c r="F88" s="2" t="s">
        <v>245</v>
      </c>
      <c r="G88" s="5" t="s">
        <v>277</v>
      </c>
    </row>
    <row r="89" spans="2:7" ht="33" x14ac:dyDescent="0.3">
      <c r="B89" s="33">
        <f t="shared" si="2"/>
        <v>72</v>
      </c>
      <c r="C89" s="104" t="s">
        <v>257</v>
      </c>
      <c r="D89" s="105">
        <v>1</v>
      </c>
      <c r="E89" s="105" t="s">
        <v>244</v>
      </c>
      <c r="F89" s="108" t="s">
        <v>74</v>
      </c>
      <c r="G89" s="107" t="s">
        <v>259</v>
      </c>
    </row>
    <row r="90" spans="2:7" x14ac:dyDescent="0.3">
      <c r="B90" s="33">
        <f t="shared" si="2"/>
        <v>73</v>
      </c>
      <c r="C90" s="109" t="s">
        <v>267</v>
      </c>
      <c r="D90" s="110" t="s">
        <v>20</v>
      </c>
      <c r="E90" s="111" t="s">
        <v>244</v>
      </c>
      <c r="F90" s="112" t="s">
        <v>17</v>
      </c>
      <c r="G90" s="109" t="s">
        <v>268</v>
      </c>
    </row>
    <row r="91" spans="2:7" x14ac:dyDescent="0.3">
      <c r="B91" s="33">
        <f t="shared" si="2"/>
        <v>74</v>
      </c>
      <c r="C91" s="3" t="s">
        <v>348</v>
      </c>
      <c r="D91" s="90" t="s">
        <v>56</v>
      </c>
      <c r="E91" s="1" t="s">
        <v>349</v>
      </c>
      <c r="F91" s="2" t="s">
        <v>347</v>
      </c>
      <c r="G91" s="5" t="s">
        <v>350</v>
      </c>
    </row>
    <row r="92" spans="2:7" x14ac:dyDescent="0.3">
      <c r="B92" s="33">
        <f t="shared" si="2"/>
        <v>75</v>
      </c>
      <c r="C92" s="3" t="s">
        <v>279</v>
      </c>
      <c r="D92" s="90" t="s">
        <v>20</v>
      </c>
      <c r="E92" s="1" t="s">
        <v>245</v>
      </c>
      <c r="F92" s="103" t="s">
        <v>82</v>
      </c>
      <c r="G92" s="5" t="s">
        <v>280</v>
      </c>
    </row>
    <row r="93" spans="2:7" x14ac:dyDescent="0.3">
      <c r="B93" s="33">
        <f t="shared" si="2"/>
        <v>76</v>
      </c>
      <c r="C93" s="3" t="s">
        <v>328</v>
      </c>
      <c r="D93" s="1">
        <v>1</v>
      </c>
      <c r="E93" s="103" t="s">
        <v>245</v>
      </c>
      <c r="F93" s="2" t="s">
        <v>64</v>
      </c>
      <c r="G93" s="5" t="s">
        <v>331</v>
      </c>
    </row>
    <row r="94" spans="2:7" x14ac:dyDescent="0.3">
      <c r="B94" s="33">
        <f t="shared" si="2"/>
        <v>77</v>
      </c>
      <c r="C94" s="3" t="s">
        <v>320</v>
      </c>
      <c r="D94" s="90" t="s">
        <v>56</v>
      </c>
      <c r="E94" s="103" t="s">
        <v>245</v>
      </c>
      <c r="F94" s="2" t="s">
        <v>64</v>
      </c>
      <c r="G94" s="5" t="s">
        <v>325</v>
      </c>
    </row>
    <row r="95" spans="2:7" ht="33" x14ac:dyDescent="0.3">
      <c r="B95" s="33">
        <f t="shared" si="2"/>
        <v>78</v>
      </c>
      <c r="C95" s="3" t="s">
        <v>319</v>
      </c>
      <c r="D95" s="90" t="s">
        <v>56</v>
      </c>
      <c r="E95" s="103" t="s">
        <v>245</v>
      </c>
      <c r="F95" s="103" t="s">
        <v>63</v>
      </c>
      <c r="G95" s="5" t="s">
        <v>324</v>
      </c>
    </row>
    <row r="96" spans="2:7" x14ac:dyDescent="0.3">
      <c r="B96" s="33">
        <f t="shared" si="2"/>
        <v>79</v>
      </c>
      <c r="C96" s="3" t="s">
        <v>275</v>
      </c>
      <c r="D96" s="1">
        <v>1</v>
      </c>
      <c r="E96" s="2" t="s">
        <v>245</v>
      </c>
      <c r="F96" s="2" t="s">
        <v>82</v>
      </c>
      <c r="G96" s="5" t="s">
        <v>278</v>
      </c>
    </row>
    <row r="97" spans="2:7" x14ac:dyDescent="0.3">
      <c r="B97" s="33">
        <f t="shared" si="2"/>
        <v>80</v>
      </c>
      <c r="C97" s="3" t="s">
        <v>298</v>
      </c>
      <c r="D97" s="90" t="s">
        <v>20</v>
      </c>
      <c r="E97" s="1" t="s">
        <v>82</v>
      </c>
      <c r="F97" s="2" t="s">
        <v>62</v>
      </c>
      <c r="G97" s="5" t="s">
        <v>299</v>
      </c>
    </row>
    <row r="98" spans="2:7" x14ac:dyDescent="0.3">
      <c r="B98" s="33">
        <f t="shared" si="2"/>
        <v>81</v>
      </c>
      <c r="C98" s="3" t="s">
        <v>332</v>
      </c>
      <c r="D98" s="90" t="s">
        <v>56</v>
      </c>
      <c r="E98" s="1" t="s">
        <v>64</v>
      </c>
      <c r="F98" s="103" t="s">
        <v>62</v>
      </c>
      <c r="G98" s="5" t="s">
        <v>333</v>
      </c>
    </row>
    <row r="99" spans="2:7" x14ac:dyDescent="0.3">
      <c r="B99" s="33">
        <f t="shared" si="2"/>
        <v>82</v>
      </c>
      <c r="C99" s="3" t="s">
        <v>309</v>
      </c>
      <c r="D99" s="1">
        <v>1</v>
      </c>
      <c r="E99" s="2" t="s">
        <v>245</v>
      </c>
      <c r="F99" s="2" t="s">
        <v>62</v>
      </c>
      <c r="G99" s="5" t="s">
        <v>312</v>
      </c>
    </row>
    <row r="100" spans="2:7" x14ac:dyDescent="0.3">
      <c r="B100" s="33" t="str">
        <f t="shared" si="2"/>
        <v/>
      </c>
    </row>
    <row r="101" spans="2:7" x14ac:dyDescent="0.3">
      <c r="B101" s="33" t="str">
        <f t="shared" si="2"/>
        <v/>
      </c>
    </row>
    <row r="102" spans="2:7" x14ac:dyDescent="0.3">
      <c r="B102" s="33" t="str">
        <f t="shared" si="2"/>
        <v/>
      </c>
    </row>
    <row r="103" spans="2:7" x14ac:dyDescent="0.3">
      <c r="B103" s="33" t="str">
        <f t="shared" si="2"/>
        <v/>
      </c>
    </row>
    <row r="104" spans="2:7" x14ac:dyDescent="0.3">
      <c r="B104" s="33" t="str">
        <f t="shared" si="2"/>
        <v/>
      </c>
    </row>
    <row r="105" spans="2:7" x14ac:dyDescent="0.3">
      <c r="B105" s="33" t="str">
        <f t="shared" si="2"/>
        <v/>
      </c>
    </row>
    <row r="106" spans="2:7" x14ac:dyDescent="0.3">
      <c r="B106" s="33" t="str">
        <f t="shared" si="2"/>
        <v/>
      </c>
    </row>
    <row r="107" spans="2:7" x14ac:dyDescent="0.3">
      <c r="B107" s="33" t="str">
        <f t="shared" si="2"/>
        <v/>
      </c>
    </row>
    <row r="108" spans="2:7" x14ac:dyDescent="0.3">
      <c r="B108" s="33" t="str">
        <f t="shared" si="2"/>
        <v/>
      </c>
    </row>
    <row r="109" spans="2:7" x14ac:dyDescent="0.3">
      <c r="B109" s="33" t="str">
        <f t="shared" si="2"/>
        <v/>
      </c>
    </row>
    <row r="110" spans="2:7" x14ac:dyDescent="0.3">
      <c r="B110" s="33" t="str">
        <f t="shared" si="2"/>
        <v/>
      </c>
    </row>
    <row r="111" spans="2:7" x14ac:dyDescent="0.3">
      <c r="B111" s="33" t="str">
        <f t="shared" si="2"/>
        <v/>
      </c>
    </row>
    <row r="112" spans="2:7" x14ac:dyDescent="0.3">
      <c r="B112" s="33" t="str">
        <f t="shared" si="2"/>
        <v/>
      </c>
    </row>
    <row r="113" spans="2:2" x14ac:dyDescent="0.3">
      <c r="B113" s="33" t="str">
        <f t="shared" si="2"/>
        <v/>
      </c>
    </row>
    <row r="114" spans="2:2" x14ac:dyDescent="0.3">
      <c r="B114" s="33" t="str">
        <f t="shared" si="2"/>
        <v/>
      </c>
    </row>
    <row r="115" spans="2:2" x14ac:dyDescent="0.3">
      <c r="B115" s="33" t="str">
        <f t="shared" ref="B115:B140" si="3">IF(C115="","",B114+1)</f>
        <v/>
      </c>
    </row>
    <row r="116" spans="2:2" x14ac:dyDescent="0.3">
      <c r="B116" s="33" t="str">
        <f t="shared" si="3"/>
        <v/>
      </c>
    </row>
    <row r="117" spans="2:2" x14ac:dyDescent="0.3">
      <c r="B117" s="33" t="str">
        <f t="shared" si="3"/>
        <v/>
      </c>
    </row>
    <row r="118" spans="2:2" x14ac:dyDescent="0.3">
      <c r="B118" s="33" t="str">
        <f t="shared" si="3"/>
        <v/>
      </c>
    </row>
    <row r="119" spans="2:2" x14ac:dyDescent="0.3">
      <c r="B119" s="33" t="str">
        <f t="shared" si="3"/>
        <v/>
      </c>
    </row>
    <row r="120" spans="2:2" x14ac:dyDescent="0.3">
      <c r="B120" s="33" t="str">
        <f t="shared" si="3"/>
        <v/>
      </c>
    </row>
    <row r="121" spans="2:2" x14ac:dyDescent="0.3">
      <c r="B121" s="33" t="str">
        <f t="shared" si="3"/>
        <v/>
      </c>
    </row>
    <row r="122" spans="2:2" x14ac:dyDescent="0.3">
      <c r="B122" s="33" t="str">
        <f t="shared" si="3"/>
        <v/>
      </c>
    </row>
    <row r="123" spans="2:2" x14ac:dyDescent="0.3">
      <c r="B123" s="33" t="str">
        <f t="shared" si="3"/>
        <v/>
      </c>
    </row>
    <row r="124" spans="2:2" x14ac:dyDescent="0.3">
      <c r="B124" s="33" t="str">
        <f t="shared" si="3"/>
        <v/>
      </c>
    </row>
    <row r="125" spans="2:2" x14ac:dyDescent="0.3">
      <c r="B125" s="33" t="str">
        <f t="shared" si="3"/>
        <v/>
      </c>
    </row>
    <row r="126" spans="2:2" x14ac:dyDescent="0.3">
      <c r="B126" s="33" t="str">
        <f t="shared" si="3"/>
        <v/>
      </c>
    </row>
    <row r="127" spans="2:2" x14ac:dyDescent="0.3">
      <c r="B127" s="33" t="str">
        <f t="shared" si="3"/>
        <v/>
      </c>
    </row>
    <row r="128" spans="2:2" x14ac:dyDescent="0.3">
      <c r="B128" s="33" t="str">
        <f t="shared" si="3"/>
        <v/>
      </c>
    </row>
    <row r="129" spans="2:2" x14ac:dyDescent="0.3">
      <c r="B129" s="33" t="str">
        <f t="shared" si="3"/>
        <v/>
      </c>
    </row>
    <row r="130" spans="2:2" x14ac:dyDescent="0.3">
      <c r="B130" s="33" t="str">
        <f t="shared" si="3"/>
        <v/>
      </c>
    </row>
    <row r="131" spans="2:2" x14ac:dyDescent="0.3">
      <c r="B131" s="33" t="str">
        <f t="shared" si="3"/>
        <v/>
      </c>
    </row>
    <row r="132" spans="2:2" x14ac:dyDescent="0.3">
      <c r="B132" s="33" t="str">
        <f t="shared" si="3"/>
        <v/>
      </c>
    </row>
    <row r="133" spans="2:2" x14ac:dyDescent="0.3">
      <c r="B133" s="33" t="str">
        <f t="shared" si="3"/>
        <v/>
      </c>
    </row>
    <row r="134" spans="2:2" x14ac:dyDescent="0.3">
      <c r="B134" s="33" t="str">
        <f t="shared" si="3"/>
        <v/>
      </c>
    </row>
    <row r="135" spans="2:2" x14ac:dyDescent="0.3">
      <c r="B135" s="33" t="str">
        <f t="shared" si="3"/>
        <v/>
      </c>
    </row>
    <row r="136" spans="2:2" x14ac:dyDescent="0.3">
      <c r="B136" s="33" t="str">
        <f t="shared" si="3"/>
        <v/>
      </c>
    </row>
    <row r="137" spans="2:2" x14ac:dyDescent="0.3">
      <c r="B137" s="33" t="str">
        <f t="shared" si="3"/>
        <v/>
      </c>
    </row>
    <row r="138" spans="2:2" x14ac:dyDescent="0.3">
      <c r="B138" s="33" t="str">
        <f t="shared" si="3"/>
        <v/>
      </c>
    </row>
    <row r="139" spans="2:2" x14ac:dyDescent="0.3">
      <c r="B139" s="33" t="str">
        <f t="shared" si="3"/>
        <v/>
      </c>
    </row>
    <row r="140" spans="2:2" x14ac:dyDescent="0.3">
      <c r="B140" s="33" t="str">
        <f t="shared" si="3"/>
        <v/>
      </c>
    </row>
  </sheetData>
  <autoFilter ref="C17:G17" xr:uid="{4C55C11C-1620-411A-9B2F-3F513CAF246A}">
    <sortState xmlns:xlrd2="http://schemas.microsoft.com/office/spreadsheetml/2017/richdata2" ref="C18:G140">
      <sortCondition ref="C17"/>
    </sortState>
  </autoFilter>
  <mergeCells count="102">
    <mergeCell ref="K2:M2"/>
    <mergeCell ref="I18:J18"/>
    <mergeCell ref="K18:M18"/>
    <mergeCell ref="I21:J21"/>
    <mergeCell ref="K21:M21"/>
    <mergeCell ref="J22:L22"/>
    <mergeCell ref="I3:J3"/>
    <mergeCell ref="K3:M3"/>
    <mergeCell ref="B2:G2"/>
    <mergeCell ref="J6:L6"/>
    <mergeCell ref="J7:L7"/>
    <mergeCell ref="I5:J5"/>
    <mergeCell ref="K5:M5"/>
    <mergeCell ref="I2:J2"/>
    <mergeCell ref="J23:L23"/>
    <mergeCell ref="I12:J12"/>
    <mergeCell ref="K12:M12"/>
    <mergeCell ref="I4:J4"/>
    <mergeCell ref="K4:M4"/>
    <mergeCell ref="I20:J20"/>
    <mergeCell ref="K20:M20"/>
    <mergeCell ref="I19:J19"/>
    <mergeCell ref="K19:M19"/>
    <mergeCell ref="I41:J41"/>
    <mergeCell ref="K41:M41"/>
    <mergeCell ref="J42:L42"/>
    <mergeCell ref="J43:L43"/>
    <mergeCell ref="I32:J32"/>
    <mergeCell ref="K32:M32"/>
    <mergeCell ref="I38:J38"/>
    <mergeCell ref="K38:M38"/>
    <mergeCell ref="I39:J39"/>
    <mergeCell ref="K39:M39"/>
    <mergeCell ref="I72:J72"/>
    <mergeCell ref="K72:M72"/>
    <mergeCell ref="J57:L57"/>
    <mergeCell ref="O2:P2"/>
    <mergeCell ref="Q2:S2"/>
    <mergeCell ref="O3:P3"/>
    <mergeCell ref="Q3:S3"/>
    <mergeCell ref="O4:P4"/>
    <mergeCell ref="Q4:S4"/>
    <mergeCell ref="O5:P5"/>
    <mergeCell ref="I53:J53"/>
    <mergeCell ref="K53:M53"/>
    <mergeCell ref="I54:J54"/>
    <mergeCell ref="K54:M54"/>
    <mergeCell ref="J55:L55"/>
    <mergeCell ref="J56:L56"/>
    <mergeCell ref="I48:J48"/>
    <mergeCell ref="K48:M48"/>
    <mergeCell ref="I51:J51"/>
    <mergeCell ref="K51:M51"/>
    <mergeCell ref="I52:J52"/>
    <mergeCell ref="K52:M52"/>
    <mergeCell ref="I40:J40"/>
    <mergeCell ref="K40:M40"/>
    <mergeCell ref="Q19:S19"/>
    <mergeCell ref="O20:P20"/>
    <mergeCell ref="Q20:S20"/>
    <mergeCell ref="O21:P21"/>
    <mergeCell ref="Q21:S21"/>
    <mergeCell ref="Q5:S5"/>
    <mergeCell ref="P6:R6"/>
    <mergeCell ref="P7:R7"/>
    <mergeCell ref="O16:P16"/>
    <mergeCell ref="Q16:S16"/>
    <mergeCell ref="O18:P18"/>
    <mergeCell ref="Q18:S18"/>
    <mergeCell ref="O72:P72"/>
    <mergeCell ref="Q72:S72"/>
    <mergeCell ref="P8:R8"/>
    <mergeCell ref="O59:P59"/>
    <mergeCell ref="Q59:S59"/>
    <mergeCell ref="O60:P60"/>
    <mergeCell ref="Q60:S60"/>
    <mergeCell ref="O61:P61"/>
    <mergeCell ref="Q61:S61"/>
    <mergeCell ref="P42:R42"/>
    <mergeCell ref="P43:R43"/>
    <mergeCell ref="O58:P58"/>
    <mergeCell ref="Q58:S58"/>
    <mergeCell ref="O39:P39"/>
    <mergeCell ref="Q39:S39"/>
    <mergeCell ref="O40:P40"/>
    <mergeCell ref="Q40:S40"/>
    <mergeCell ref="O41:P41"/>
    <mergeCell ref="Q41:S41"/>
    <mergeCell ref="P22:R22"/>
    <mergeCell ref="P23:R23"/>
    <mergeCell ref="O36:P36"/>
    <mergeCell ref="Q36:S36"/>
    <mergeCell ref="O19:P19"/>
    <mergeCell ref="P24:R24"/>
    <mergeCell ref="O38:P38"/>
    <mergeCell ref="Q38:S38"/>
    <mergeCell ref="P44:R44"/>
    <mergeCell ref="O56:P56"/>
    <mergeCell ref="Q56:S56"/>
    <mergeCell ref="P62:R62"/>
    <mergeCell ref="P63:R63"/>
    <mergeCell ref="P64:R6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ACD3-19B9-4F27-A163-F65AFD95CDAE}">
  <dimension ref="B2:H84"/>
  <sheetViews>
    <sheetView showGridLines="0" tabSelected="1" topLeftCell="C1" workbookViewId="0">
      <selection activeCell="F4" sqref="F4"/>
    </sheetView>
  </sheetViews>
  <sheetFormatPr defaultRowHeight="16.5" x14ac:dyDescent="0.3"/>
  <cols>
    <col min="1" max="1" width="2.625" style="1" customWidth="1"/>
    <col min="2" max="2" width="37.25" style="3" customWidth="1"/>
    <col min="3" max="4" width="9" style="1"/>
    <col min="5" max="6" width="30.625" style="1" customWidth="1"/>
    <col min="7" max="7" width="9.625" style="1" customWidth="1"/>
    <col min="8" max="16384" width="9" style="1"/>
  </cols>
  <sheetData>
    <row r="2" spans="2:8" ht="49.5" x14ac:dyDescent="0.3">
      <c r="B2" s="1" t="s">
        <v>334</v>
      </c>
      <c r="C2" s="1" t="s">
        <v>335</v>
      </c>
      <c r="D2" s="1" t="s">
        <v>336</v>
      </c>
      <c r="E2" s="1" t="s">
        <v>337</v>
      </c>
      <c r="F2" s="1" t="s">
        <v>338</v>
      </c>
      <c r="G2" s="102" t="s">
        <v>341</v>
      </c>
      <c r="H2" s="102" t="s">
        <v>342</v>
      </c>
    </row>
    <row r="3" spans="2:8" x14ac:dyDescent="0.3">
      <c r="C3" s="1" t="e">
        <f>FIND("w_",B3)</f>
        <v>#VALUE!</v>
      </c>
      <c r="D3" s="1" t="e">
        <f>FIND(";",B3)</f>
        <v>#VALUE!</v>
      </c>
      <c r="E3" s="1" t="e">
        <f>MID(B3,C3,D3-C3)</f>
        <v>#VALUE!</v>
      </c>
      <c r="F3" s="146"/>
      <c r="G3" s="1">
        <f>COUNTIF($E$3:$E$100,F3)</f>
        <v>0</v>
      </c>
      <c r="H3" s="1">
        <f>COUNTIF($F$3:$F$100,E3)</f>
        <v>0</v>
      </c>
    </row>
    <row r="4" spans="2:8" x14ac:dyDescent="0.3">
      <c r="C4" s="1" t="e">
        <f t="shared" ref="C4:C67" si="0">FIND("w_",B4)</f>
        <v>#VALUE!</v>
      </c>
      <c r="D4" s="1" t="e">
        <f t="shared" ref="D4:D67" si="1">FIND(";",B4)</f>
        <v>#VALUE!</v>
      </c>
      <c r="E4" s="1" t="e">
        <f t="shared" ref="E4:E67" si="2">MID(B4,C4,D4-C4)</f>
        <v>#VALUE!</v>
      </c>
      <c r="F4" s="146"/>
      <c r="G4" s="1">
        <f t="shared" ref="G4:G67" si="3">COUNTIF($E$3:$E$100,F4)</f>
        <v>0</v>
      </c>
      <c r="H4" s="1">
        <f t="shared" ref="H4:H67" si="4">COUNTIF($F$3:$F$100,E4)</f>
        <v>0</v>
      </c>
    </row>
    <row r="5" spans="2:8" x14ac:dyDescent="0.3">
      <c r="C5" s="1" t="e">
        <f t="shared" si="0"/>
        <v>#VALUE!</v>
      </c>
      <c r="D5" s="1" t="e">
        <f t="shared" si="1"/>
        <v>#VALUE!</v>
      </c>
      <c r="E5" s="1" t="e">
        <f t="shared" si="2"/>
        <v>#VALUE!</v>
      </c>
      <c r="F5" s="146"/>
      <c r="G5" s="1">
        <f t="shared" si="3"/>
        <v>0</v>
      </c>
      <c r="H5" s="1">
        <f t="shared" si="4"/>
        <v>0</v>
      </c>
    </row>
    <row r="6" spans="2:8" x14ac:dyDescent="0.3">
      <c r="C6" s="1" t="e">
        <f t="shared" si="0"/>
        <v>#VALUE!</v>
      </c>
      <c r="D6" s="1" t="e">
        <f t="shared" si="1"/>
        <v>#VALUE!</v>
      </c>
      <c r="E6" s="1" t="e">
        <f t="shared" si="2"/>
        <v>#VALUE!</v>
      </c>
      <c r="F6" s="146"/>
      <c r="G6" s="1">
        <f t="shared" si="3"/>
        <v>0</v>
      </c>
      <c r="H6" s="1">
        <f t="shared" si="4"/>
        <v>0</v>
      </c>
    </row>
    <row r="7" spans="2:8" x14ac:dyDescent="0.3">
      <c r="C7" s="1" t="e">
        <f t="shared" si="0"/>
        <v>#VALUE!</v>
      </c>
      <c r="D7" s="1" t="e">
        <f t="shared" si="1"/>
        <v>#VALUE!</v>
      </c>
      <c r="E7" s="1" t="e">
        <f t="shared" si="2"/>
        <v>#VALUE!</v>
      </c>
      <c r="F7" s="146"/>
      <c r="G7" s="1">
        <f t="shared" si="3"/>
        <v>0</v>
      </c>
      <c r="H7" s="1">
        <f t="shared" si="4"/>
        <v>0</v>
      </c>
    </row>
    <row r="8" spans="2:8" x14ac:dyDescent="0.3">
      <c r="C8" s="1" t="e">
        <f t="shared" si="0"/>
        <v>#VALUE!</v>
      </c>
      <c r="D8" s="1" t="e">
        <f t="shared" si="1"/>
        <v>#VALUE!</v>
      </c>
      <c r="E8" s="1" t="e">
        <f t="shared" si="2"/>
        <v>#VALUE!</v>
      </c>
      <c r="F8" s="146"/>
      <c r="G8" s="1">
        <f t="shared" si="3"/>
        <v>0</v>
      </c>
      <c r="H8" s="1">
        <f t="shared" si="4"/>
        <v>0</v>
      </c>
    </row>
    <row r="9" spans="2:8" x14ac:dyDescent="0.3">
      <c r="C9" s="1" t="e">
        <f t="shared" si="0"/>
        <v>#VALUE!</v>
      </c>
      <c r="D9" s="1" t="e">
        <f t="shared" si="1"/>
        <v>#VALUE!</v>
      </c>
      <c r="E9" s="1" t="e">
        <f t="shared" si="2"/>
        <v>#VALUE!</v>
      </c>
      <c r="F9" s="146"/>
      <c r="G9" s="1">
        <f t="shared" si="3"/>
        <v>0</v>
      </c>
      <c r="H9" s="1">
        <f t="shared" si="4"/>
        <v>0</v>
      </c>
    </row>
    <row r="10" spans="2:8" x14ac:dyDescent="0.3">
      <c r="C10" s="1" t="e">
        <f t="shared" si="0"/>
        <v>#VALUE!</v>
      </c>
      <c r="D10" s="1" t="e">
        <f t="shared" si="1"/>
        <v>#VALUE!</v>
      </c>
      <c r="E10" s="1" t="e">
        <f t="shared" si="2"/>
        <v>#VALUE!</v>
      </c>
      <c r="F10" s="146"/>
      <c r="G10" s="1">
        <f t="shared" si="3"/>
        <v>0</v>
      </c>
      <c r="H10" s="1">
        <f t="shared" si="4"/>
        <v>0</v>
      </c>
    </row>
    <row r="11" spans="2:8" x14ac:dyDescent="0.3">
      <c r="C11" s="1" t="e">
        <f t="shared" si="0"/>
        <v>#VALUE!</v>
      </c>
      <c r="D11" s="1" t="e">
        <f t="shared" si="1"/>
        <v>#VALUE!</v>
      </c>
      <c r="E11" s="1" t="e">
        <f t="shared" si="2"/>
        <v>#VALUE!</v>
      </c>
      <c r="F11" s="146"/>
      <c r="G11" s="1">
        <f t="shared" si="3"/>
        <v>0</v>
      </c>
      <c r="H11" s="1">
        <f t="shared" si="4"/>
        <v>0</v>
      </c>
    </row>
    <row r="12" spans="2:8" x14ac:dyDescent="0.3">
      <c r="C12" s="1" t="e">
        <f t="shared" si="0"/>
        <v>#VALUE!</v>
      </c>
      <c r="D12" s="1" t="e">
        <f t="shared" si="1"/>
        <v>#VALUE!</v>
      </c>
      <c r="E12" s="1" t="e">
        <f t="shared" si="2"/>
        <v>#VALUE!</v>
      </c>
      <c r="F12" s="146"/>
      <c r="G12" s="1">
        <f t="shared" si="3"/>
        <v>0</v>
      </c>
      <c r="H12" s="1">
        <f t="shared" si="4"/>
        <v>0</v>
      </c>
    </row>
    <row r="13" spans="2:8" x14ac:dyDescent="0.3">
      <c r="C13" s="1" t="e">
        <f t="shared" si="0"/>
        <v>#VALUE!</v>
      </c>
      <c r="D13" s="1" t="e">
        <f t="shared" si="1"/>
        <v>#VALUE!</v>
      </c>
      <c r="E13" s="1" t="e">
        <f t="shared" si="2"/>
        <v>#VALUE!</v>
      </c>
      <c r="F13" s="146"/>
      <c r="G13" s="1">
        <f t="shared" si="3"/>
        <v>0</v>
      </c>
      <c r="H13" s="1">
        <f t="shared" si="4"/>
        <v>0</v>
      </c>
    </row>
    <row r="14" spans="2:8" x14ac:dyDescent="0.3">
      <c r="C14" s="1" t="e">
        <f t="shared" si="0"/>
        <v>#VALUE!</v>
      </c>
      <c r="D14" s="1" t="e">
        <f t="shared" si="1"/>
        <v>#VALUE!</v>
      </c>
      <c r="E14" s="1" t="e">
        <f t="shared" si="2"/>
        <v>#VALUE!</v>
      </c>
      <c r="F14" s="146"/>
      <c r="G14" s="1">
        <f t="shared" si="3"/>
        <v>0</v>
      </c>
      <c r="H14" s="1">
        <f t="shared" si="4"/>
        <v>0</v>
      </c>
    </row>
    <row r="15" spans="2:8" x14ac:dyDescent="0.3">
      <c r="C15" s="1" t="e">
        <f t="shared" si="0"/>
        <v>#VALUE!</v>
      </c>
      <c r="D15" s="1" t="e">
        <f t="shared" si="1"/>
        <v>#VALUE!</v>
      </c>
      <c r="E15" s="1" t="e">
        <f t="shared" si="2"/>
        <v>#VALUE!</v>
      </c>
      <c r="F15" s="146"/>
      <c r="G15" s="1">
        <f t="shared" si="3"/>
        <v>0</v>
      </c>
      <c r="H15" s="1">
        <f t="shared" si="4"/>
        <v>0</v>
      </c>
    </row>
    <row r="16" spans="2:8" x14ac:dyDescent="0.3">
      <c r="C16" s="1" t="e">
        <f t="shared" si="0"/>
        <v>#VALUE!</v>
      </c>
      <c r="D16" s="1" t="e">
        <f t="shared" si="1"/>
        <v>#VALUE!</v>
      </c>
      <c r="E16" s="1" t="e">
        <f t="shared" si="2"/>
        <v>#VALUE!</v>
      </c>
      <c r="F16" s="146"/>
      <c r="G16" s="1">
        <f t="shared" si="3"/>
        <v>0</v>
      </c>
      <c r="H16" s="1">
        <f t="shared" si="4"/>
        <v>0</v>
      </c>
    </row>
    <row r="17" spans="3:8" x14ac:dyDescent="0.3">
      <c r="C17" s="1" t="e">
        <f t="shared" si="0"/>
        <v>#VALUE!</v>
      </c>
      <c r="D17" s="1" t="e">
        <f t="shared" si="1"/>
        <v>#VALUE!</v>
      </c>
      <c r="E17" s="1" t="e">
        <f t="shared" si="2"/>
        <v>#VALUE!</v>
      </c>
      <c r="F17" s="146"/>
      <c r="G17" s="1">
        <f t="shared" si="3"/>
        <v>0</v>
      </c>
      <c r="H17" s="1">
        <f t="shared" si="4"/>
        <v>0</v>
      </c>
    </row>
    <row r="18" spans="3:8" x14ac:dyDescent="0.3">
      <c r="C18" s="1" t="e">
        <f t="shared" si="0"/>
        <v>#VALUE!</v>
      </c>
      <c r="D18" s="1" t="e">
        <f t="shared" si="1"/>
        <v>#VALUE!</v>
      </c>
      <c r="E18" s="1" t="e">
        <f t="shared" si="2"/>
        <v>#VALUE!</v>
      </c>
      <c r="F18" s="146"/>
      <c r="G18" s="1">
        <f t="shared" si="3"/>
        <v>0</v>
      </c>
      <c r="H18" s="1">
        <f t="shared" si="4"/>
        <v>0</v>
      </c>
    </row>
    <row r="19" spans="3:8" x14ac:dyDescent="0.3">
      <c r="C19" s="1" t="e">
        <f t="shared" si="0"/>
        <v>#VALUE!</v>
      </c>
      <c r="D19" s="1" t="e">
        <f t="shared" si="1"/>
        <v>#VALUE!</v>
      </c>
      <c r="E19" s="1" t="e">
        <f t="shared" si="2"/>
        <v>#VALUE!</v>
      </c>
      <c r="F19" s="146"/>
      <c r="G19" s="1">
        <f t="shared" si="3"/>
        <v>0</v>
      </c>
      <c r="H19" s="1">
        <f t="shared" si="4"/>
        <v>0</v>
      </c>
    </row>
    <row r="20" spans="3:8" x14ac:dyDescent="0.3">
      <c r="C20" s="1" t="e">
        <f t="shared" si="0"/>
        <v>#VALUE!</v>
      </c>
      <c r="D20" s="1" t="e">
        <f t="shared" si="1"/>
        <v>#VALUE!</v>
      </c>
      <c r="E20" s="1" t="e">
        <f t="shared" si="2"/>
        <v>#VALUE!</v>
      </c>
      <c r="F20" s="146"/>
      <c r="G20" s="1">
        <f t="shared" si="3"/>
        <v>0</v>
      </c>
      <c r="H20" s="1">
        <f t="shared" si="4"/>
        <v>0</v>
      </c>
    </row>
    <row r="21" spans="3:8" x14ac:dyDescent="0.3">
      <c r="C21" s="1" t="e">
        <f t="shared" si="0"/>
        <v>#VALUE!</v>
      </c>
      <c r="D21" s="1" t="e">
        <f t="shared" si="1"/>
        <v>#VALUE!</v>
      </c>
      <c r="E21" s="1" t="e">
        <f t="shared" si="2"/>
        <v>#VALUE!</v>
      </c>
      <c r="F21" s="146"/>
      <c r="G21" s="1">
        <f t="shared" si="3"/>
        <v>0</v>
      </c>
      <c r="H21" s="1">
        <f t="shared" si="4"/>
        <v>0</v>
      </c>
    </row>
    <row r="22" spans="3:8" x14ac:dyDescent="0.3">
      <c r="C22" s="1" t="e">
        <f t="shared" si="0"/>
        <v>#VALUE!</v>
      </c>
      <c r="D22" s="1" t="e">
        <f t="shared" si="1"/>
        <v>#VALUE!</v>
      </c>
      <c r="E22" s="1" t="e">
        <f t="shared" si="2"/>
        <v>#VALUE!</v>
      </c>
      <c r="F22" s="147"/>
      <c r="G22" s="1">
        <f t="shared" si="3"/>
        <v>0</v>
      </c>
      <c r="H22" s="1">
        <f t="shared" si="4"/>
        <v>0</v>
      </c>
    </row>
    <row r="23" spans="3:8" x14ac:dyDescent="0.3">
      <c r="C23" s="1" t="e">
        <f t="shared" si="0"/>
        <v>#VALUE!</v>
      </c>
      <c r="D23" s="1" t="e">
        <f t="shared" si="1"/>
        <v>#VALUE!</v>
      </c>
      <c r="E23" s="1" t="e">
        <f t="shared" si="2"/>
        <v>#VALUE!</v>
      </c>
      <c r="F23" s="146"/>
      <c r="G23" s="1">
        <f t="shared" si="3"/>
        <v>0</v>
      </c>
      <c r="H23" s="1">
        <f t="shared" si="4"/>
        <v>0</v>
      </c>
    </row>
    <row r="24" spans="3:8" x14ac:dyDescent="0.3">
      <c r="C24" s="1" t="e">
        <f t="shared" si="0"/>
        <v>#VALUE!</v>
      </c>
      <c r="D24" s="1" t="e">
        <f t="shared" si="1"/>
        <v>#VALUE!</v>
      </c>
      <c r="E24" s="1" t="e">
        <f t="shared" si="2"/>
        <v>#VALUE!</v>
      </c>
      <c r="F24" s="146"/>
      <c r="G24" s="1">
        <f t="shared" si="3"/>
        <v>0</v>
      </c>
      <c r="H24" s="1">
        <f t="shared" si="4"/>
        <v>0</v>
      </c>
    </row>
    <row r="25" spans="3:8" x14ac:dyDescent="0.3">
      <c r="C25" s="1" t="e">
        <f t="shared" si="0"/>
        <v>#VALUE!</v>
      </c>
      <c r="D25" s="1" t="e">
        <f t="shared" si="1"/>
        <v>#VALUE!</v>
      </c>
      <c r="E25" s="1" t="e">
        <f t="shared" si="2"/>
        <v>#VALUE!</v>
      </c>
      <c r="F25" s="146"/>
      <c r="G25" s="1">
        <f t="shared" si="3"/>
        <v>0</v>
      </c>
      <c r="H25" s="1">
        <f t="shared" si="4"/>
        <v>0</v>
      </c>
    </row>
    <row r="26" spans="3:8" x14ac:dyDescent="0.3">
      <c r="C26" s="1" t="e">
        <f t="shared" si="0"/>
        <v>#VALUE!</v>
      </c>
      <c r="D26" s="1" t="e">
        <f t="shared" si="1"/>
        <v>#VALUE!</v>
      </c>
      <c r="E26" s="1" t="e">
        <f t="shared" si="2"/>
        <v>#VALUE!</v>
      </c>
      <c r="F26" s="146"/>
      <c r="G26" s="1">
        <f t="shared" si="3"/>
        <v>0</v>
      </c>
      <c r="H26" s="1">
        <f t="shared" si="4"/>
        <v>0</v>
      </c>
    </row>
    <row r="27" spans="3:8" x14ac:dyDescent="0.3">
      <c r="C27" s="1" t="e">
        <f t="shared" si="0"/>
        <v>#VALUE!</v>
      </c>
      <c r="D27" s="1" t="e">
        <f t="shared" si="1"/>
        <v>#VALUE!</v>
      </c>
      <c r="E27" s="1" t="e">
        <f t="shared" si="2"/>
        <v>#VALUE!</v>
      </c>
      <c r="F27" s="146"/>
      <c r="G27" s="1">
        <f t="shared" si="3"/>
        <v>0</v>
      </c>
      <c r="H27" s="1">
        <f t="shared" si="4"/>
        <v>0</v>
      </c>
    </row>
    <row r="28" spans="3:8" x14ac:dyDescent="0.3">
      <c r="C28" s="1" t="e">
        <f t="shared" si="0"/>
        <v>#VALUE!</v>
      </c>
      <c r="D28" s="1" t="e">
        <f t="shared" si="1"/>
        <v>#VALUE!</v>
      </c>
      <c r="E28" s="1" t="e">
        <f t="shared" si="2"/>
        <v>#VALUE!</v>
      </c>
      <c r="F28" s="148"/>
      <c r="G28" s="1">
        <f t="shared" si="3"/>
        <v>0</v>
      </c>
      <c r="H28" s="1">
        <f t="shared" si="4"/>
        <v>0</v>
      </c>
    </row>
    <row r="29" spans="3:8" x14ac:dyDescent="0.3">
      <c r="C29" s="1" t="e">
        <f t="shared" si="0"/>
        <v>#VALUE!</v>
      </c>
      <c r="D29" s="1" t="e">
        <f t="shared" si="1"/>
        <v>#VALUE!</v>
      </c>
      <c r="E29" s="1" t="e">
        <f t="shared" si="2"/>
        <v>#VALUE!</v>
      </c>
      <c r="F29" s="146"/>
      <c r="G29" s="1">
        <f t="shared" si="3"/>
        <v>0</v>
      </c>
      <c r="H29" s="1">
        <f t="shared" si="4"/>
        <v>0</v>
      </c>
    </row>
    <row r="30" spans="3:8" x14ac:dyDescent="0.3">
      <c r="C30" s="1" t="e">
        <f t="shared" si="0"/>
        <v>#VALUE!</v>
      </c>
      <c r="D30" s="1" t="e">
        <f t="shared" si="1"/>
        <v>#VALUE!</v>
      </c>
      <c r="E30" s="1" t="e">
        <f t="shared" si="2"/>
        <v>#VALUE!</v>
      </c>
      <c r="F30" s="146"/>
      <c r="G30" s="1">
        <f t="shared" si="3"/>
        <v>0</v>
      </c>
      <c r="H30" s="1">
        <f t="shared" si="4"/>
        <v>0</v>
      </c>
    </row>
    <row r="31" spans="3:8" x14ac:dyDescent="0.3">
      <c r="C31" s="1" t="e">
        <f t="shared" si="0"/>
        <v>#VALUE!</v>
      </c>
      <c r="D31" s="1" t="e">
        <f t="shared" si="1"/>
        <v>#VALUE!</v>
      </c>
      <c r="E31" s="1" t="e">
        <f t="shared" si="2"/>
        <v>#VALUE!</v>
      </c>
      <c r="F31" s="146"/>
      <c r="G31" s="1">
        <f t="shared" si="3"/>
        <v>0</v>
      </c>
      <c r="H31" s="1">
        <f t="shared" si="4"/>
        <v>0</v>
      </c>
    </row>
    <row r="32" spans="3:8" x14ac:dyDescent="0.3">
      <c r="C32" s="1" t="e">
        <f t="shared" si="0"/>
        <v>#VALUE!</v>
      </c>
      <c r="D32" s="1" t="e">
        <f t="shared" si="1"/>
        <v>#VALUE!</v>
      </c>
      <c r="E32" s="1" t="e">
        <f t="shared" si="2"/>
        <v>#VALUE!</v>
      </c>
      <c r="F32" s="146"/>
      <c r="G32" s="1">
        <f t="shared" si="3"/>
        <v>0</v>
      </c>
      <c r="H32" s="1">
        <f t="shared" si="4"/>
        <v>0</v>
      </c>
    </row>
    <row r="33" spans="3:8" x14ac:dyDescent="0.3">
      <c r="C33" s="1" t="e">
        <f t="shared" si="0"/>
        <v>#VALUE!</v>
      </c>
      <c r="D33" s="1" t="e">
        <f t="shared" si="1"/>
        <v>#VALUE!</v>
      </c>
      <c r="E33" s="1" t="e">
        <f t="shared" si="2"/>
        <v>#VALUE!</v>
      </c>
      <c r="F33" s="146"/>
      <c r="G33" s="1">
        <f t="shared" si="3"/>
        <v>0</v>
      </c>
      <c r="H33" s="1">
        <f t="shared" si="4"/>
        <v>0</v>
      </c>
    </row>
    <row r="34" spans="3:8" x14ac:dyDescent="0.3">
      <c r="C34" s="1" t="e">
        <f t="shared" si="0"/>
        <v>#VALUE!</v>
      </c>
      <c r="D34" s="1" t="e">
        <f t="shared" si="1"/>
        <v>#VALUE!</v>
      </c>
      <c r="E34" s="1" t="e">
        <f t="shared" si="2"/>
        <v>#VALUE!</v>
      </c>
      <c r="F34" s="146"/>
      <c r="G34" s="1">
        <f t="shared" si="3"/>
        <v>0</v>
      </c>
      <c r="H34" s="1">
        <f t="shared" si="4"/>
        <v>0</v>
      </c>
    </row>
    <row r="35" spans="3:8" x14ac:dyDescent="0.3">
      <c r="C35" s="1" t="e">
        <f t="shared" si="0"/>
        <v>#VALUE!</v>
      </c>
      <c r="D35" s="1" t="e">
        <f t="shared" si="1"/>
        <v>#VALUE!</v>
      </c>
      <c r="E35" s="1" t="e">
        <f t="shared" si="2"/>
        <v>#VALUE!</v>
      </c>
      <c r="F35" s="146"/>
      <c r="G35" s="1">
        <f t="shared" si="3"/>
        <v>0</v>
      </c>
      <c r="H35" s="1">
        <f t="shared" si="4"/>
        <v>0</v>
      </c>
    </row>
    <row r="36" spans="3:8" x14ac:dyDescent="0.3">
      <c r="C36" s="1" t="e">
        <f t="shared" si="0"/>
        <v>#VALUE!</v>
      </c>
      <c r="D36" s="1" t="e">
        <f t="shared" si="1"/>
        <v>#VALUE!</v>
      </c>
      <c r="E36" s="1" t="e">
        <f t="shared" si="2"/>
        <v>#VALUE!</v>
      </c>
      <c r="F36" s="146"/>
      <c r="G36" s="1">
        <f t="shared" si="3"/>
        <v>0</v>
      </c>
      <c r="H36" s="1">
        <f t="shared" si="4"/>
        <v>0</v>
      </c>
    </row>
    <row r="37" spans="3:8" x14ac:dyDescent="0.3">
      <c r="C37" s="1" t="e">
        <f t="shared" si="0"/>
        <v>#VALUE!</v>
      </c>
      <c r="D37" s="1" t="e">
        <f t="shared" si="1"/>
        <v>#VALUE!</v>
      </c>
      <c r="E37" s="1" t="e">
        <f t="shared" si="2"/>
        <v>#VALUE!</v>
      </c>
      <c r="F37" s="146"/>
      <c r="G37" s="1">
        <f t="shared" si="3"/>
        <v>0</v>
      </c>
      <c r="H37" s="1">
        <f t="shared" si="4"/>
        <v>0</v>
      </c>
    </row>
    <row r="38" spans="3:8" x14ac:dyDescent="0.3">
      <c r="C38" s="1" t="e">
        <f t="shared" si="0"/>
        <v>#VALUE!</v>
      </c>
      <c r="D38" s="1" t="e">
        <f t="shared" si="1"/>
        <v>#VALUE!</v>
      </c>
      <c r="E38" s="1" t="e">
        <f t="shared" si="2"/>
        <v>#VALUE!</v>
      </c>
      <c r="F38" s="146"/>
      <c r="G38" s="1">
        <f t="shared" si="3"/>
        <v>0</v>
      </c>
      <c r="H38" s="1">
        <f t="shared" si="4"/>
        <v>0</v>
      </c>
    </row>
    <row r="39" spans="3:8" x14ac:dyDescent="0.3">
      <c r="C39" s="1" t="e">
        <f t="shared" si="0"/>
        <v>#VALUE!</v>
      </c>
      <c r="D39" s="1" t="e">
        <f t="shared" si="1"/>
        <v>#VALUE!</v>
      </c>
      <c r="E39" s="1" t="e">
        <f t="shared" si="2"/>
        <v>#VALUE!</v>
      </c>
      <c r="F39" s="146"/>
      <c r="G39" s="1">
        <f t="shared" si="3"/>
        <v>0</v>
      </c>
      <c r="H39" s="1">
        <f t="shared" si="4"/>
        <v>0</v>
      </c>
    </row>
    <row r="40" spans="3:8" x14ac:dyDescent="0.3">
      <c r="C40" s="1" t="e">
        <f t="shared" si="0"/>
        <v>#VALUE!</v>
      </c>
      <c r="D40" s="1" t="e">
        <f t="shared" si="1"/>
        <v>#VALUE!</v>
      </c>
      <c r="E40" s="1" t="e">
        <f t="shared" si="2"/>
        <v>#VALUE!</v>
      </c>
      <c r="F40" s="146"/>
      <c r="G40" s="1">
        <f t="shared" si="3"/>
        <v>0</v>
      </c>
      <c r="H40" s="1">
        <f t="shared" si="4"/>
        <v>0</v>
      </c>
    </row>
    <row r="41" spans="3:8" x14ac:dyDescent="0.3">
      <c r="C41" s="1" t="e">
        <f t="shared" si="0"/>
        <v>#VALUE!</v>
      </c>
      <c r="D41" s="1" t="e">
        <f t="shared" si="1"/>
        <v>#VALUE!</v>
      </c>
      <c r="E41" s="1" t="e">
        <f t="shared" si="2"/>
        <v>#VALUE!</v>
      </c>
      <c r="F41" s="146"/>
      <c r="G41" s="1">
        <f t="shared" si="3"/>
        <v>0</v>
      </c>
      <c r="H41" s="1">
        <f t="shared" si="4"/>
        <v>0</v>
      </c>
    </row>
    <row r="42" spans="3:8" x14ac:dyDescent="0.3">
      <c r="C42" s="1" t="e">
        <f t="shared" si="0"/>
        <v>#VALUE!</v>
      </c>
      <c r="D42" s="1" t="e">
        <f t="shared" si="1"/>
        <v>#VALUE!</v>
      </c>
      <c r="E42" s="1" t="e">
        <f t="shared" si="2"/>
        <v>#VALUE!</v>
      </c>
      <c r="F42" s="147"/>
      <c r="G42" s="1">
        <f t="shared" si="3"/>
        <v>0</v>
      </c>
      <c r="H42" s="1">
        <f t="shared" si="4"/>
        <v>0</v>
      </c>
    </row>
    <row r="43" spans="3:8" x14ac:dyDescent="0.3">
      <c r="C43" s="1" t="e">
        <f t="shared" si="0"/>
        <v>#VALUE!</v>
      </c>
      <c r="D43" s="1" t="e">
        <f t="shared" si="1"/>
        <v>#VALUE!</v>
      </c>
      <c r="E43" s="1" t="e">
        <f t="shared" si="2"/>
        <v>#VALUE!</v>
      </c>
      <c r="F43" s="146"/>
      <c r="G43" s="1">
        <f t="shared" si="3"/>
        <v>0</v>
      </c>
      <c r="H43" s="1">
        <f t="shared" si="4"/>
        <v>0</v>
      </c>
    </row>
    <row r="44" spans="3:8" x14ac:dyDescent="0.3">
      <c r="C44" s="1" t="e">
        <f t="shared" si="0"/>
        <v>#VALUE!</v>
      </c>
      <c r="D44" s="1" t="e">
        <f t="shared" si="1"/>
        <v>#VALUE!</v>
      </c>
      <c r="E44" s="1" t="e">
        <f t="shared" si="2"/>
        <v>#VALUE!</v>
      </c>
      <c r="F44" s="146"/>
      <c r="G44" s="1">
        <f t="shared" si="3"/>
        <v>0</v>
      </c>
      <c r="H44" s="1">
        <f t="shared" si="4"/>
        <v>0</v>
      </c>
    </row>
    <row r="45" spans="3:8" x14ac:dyDescent="0.3">
      <c r="C45" s="1" t="e">
        <f t="shared" si="0"/>
        <v>#VALUE!</v>
      </c>
      <c r="D45" s="1" t="e">
        <f t="shared" si="1"/>
        <v>#VALUE!</v>
      </c>
      <c r="E45" s="1" t="e">
        <f t="shared" si="2"/>
        <v>#VALUE!</v>
      </c>
      <c r="F45" s="146"/>
      <c r="G45" s="1">
        <f t="shared" si="3"/>
        <v>0</v>
      </c>
      <c r="H45" s="1">
        <f t="shared" si="4"/>
        <v>0</v>
      </c>
    </row>
    <row r="46" spans="3:8" x14ac:dyDescent="0.3">
      <c r="C46" s="1" t="e">
        <f t="shared" si="0"/>
        <v>#VALUE!</v>
      </c>
      <c r="D46" s="1" t="e">
        <f t="shared" si="1"/>
        <v>#VALUE!</v>
      </c>
      <c r="E46" s="1" t="e">
        <f t="shared" si="2"/>
        <v>#VALUE!</v>
      </c>
      <c r="F46" s="146"/>
      <c r="G46" s="1">
        <f t="shared" si="3"/>
        <v>0</v>
      </c>
      <c r="H46" s="1">
        <f t="shared" si="4"/>
        <v>0</v>
      </c>
    </row>
    <row r="47" spans="3:8" x14ac:dyDescent="0.3">
      <c r="C47" s="1" t="e">
        <f t="shared" si="0"/>
        <v>#VALUE!</v>
      </c>
      <c r="D47" s="1" t="e">
        <f t="shared" si="1"/>
        <v>#VALUE!</v>
      </c>
      <c r="E47" s="1" t="e">
        <f t="shared" si="2"/>
        <v>#VALUE!</v>
      </c>
      <c r="F47" s="146"/>
      <c r="G47" s="1">
        <f t="shared" si="3"/>
        <v>0</v>
      </c>
      <c r="H47" s="1">
        <f t="shared" si="4"/>
        <v>0</v>
      </c>
    </row>
    <row r="48" spans="3:8" x14ac:dyDescent="0.3">
      <c r="C48" s="1" t="e">
        <f t="shared" si="0"/>
        <v>#VALUE!</v>
      </c>
      <c r="D48" s="1" t="e">
        <f t="shared" si="1"/>
        <v>#VALUE!</v>
      </c>
      <c r="E48" s="1" t="e">
        <f t="shared" si="2"/>
        <v>#VALUE!</v>
      </c>
      <c r="F48" s="146"/>
      <c r="G48" s="1">
        <f t="shared" si="3"/>
        <v>0</v>
      </c>
      <c r="H48" s="1">
        <f t="shared" si="4"/>
        <v>0</v>
      </c>
    </row>
    <row r="49" spans="3:8" x14ac:dyDescent="0.3">
      <c r="C49" s="1" t="e">
        <f t="shared" si="0"/>
        <v>#VALUE!</v>
      </c>
      <c r="D49" s="1" t="e">
        <f t="shared" si="1"/>
        <v>#VALUE!</v>
      </c>
      <c r="E49" s="1" t="e">
        <f t="shared" si="2"/>
        <v>#VALUE!</v>
      </c>
      <c r="F49" s="146"/>
      <c r="G49" s="1">
        <f t="shared" si="3"/>
        <v>0</v>
      </c>
      <c r="H49" s="1">
        <f t="shared" si="4"/>
        <v>0</v>
      </c>
    </row>
    <row r="50" spans="3:8" x14ac:dyDescent="0.3">
      <c r="C50" s="1" t="e">
        <f t="shared" si="0"/>
        <v>#VALUE!</v>
      </c>
      <c r="D50" s="1" t="e">
        <f t="shared" si="1"/>
        <v>#VALUE!</v>
      </c>
      <c r="E50" s="1" t="e">
        <f t="shared" si="2"/>
        <v>#VALUE!</v>
      </c>
      <c r="F50" s="146"/>
      <c r="G50" s="1">
        <f t="shared" si="3"/>
        <v>0</v>
      </c>
      <c r="H50" s="1">
        <f t="shared" si="4"/>
        <v>0</v>
      </c>
    </row>
    <row r="51" spans="3:8" x14ac:dyDescent="0.3">
      <c r="C51" s="1" t="e">
        <f t="shared" si="0"/>
        <v>#VALUE!</v>
      </c>
      <c r="D51" s="1" t="e">
        <f t="shared" si="1"/>
        <v>#VALUE!</v>
      </c>
      <c r="E51" s="1" t="e">
        <f t="shared" si="2"/>
        <v>#VALUE!</v>
      </c>
      <c r="F51" s="146"/>
      <c r="G51" s="1">
        <f t="shared" si="3"/>
        <v>0</v>
      </c>
      <c r="H51" s="1">
        <f t="shared" si="4"/>
        <v>0</v>
      </c>
    </row>
    <row r="52" spans="3:8" x14ac:dyDescent="0.3">
      <c r="C52" s="1" t="e">
        <f t="shared" si="0"/>
        <v>#VALUE!</v>
      </c>
      <c r="D52" s="1" t="e">
        <f t="shared" si="1"/>
        <v>#VALUE!</v>
      </c>
      <c r="E52" s="1" t="e">
        <f t="shared" si="2"/>
        <v>#VALUE!</v>
      </c>
      <c r="F52" s="146"/>
      <c r="G52" s="1">
        <f t="shared" si="3"/>
        <v>0</v>
      </c>
      <c r="H52" s="1">
        <f t="shared" si="4"/>
        <v>0</v>
      </c>
    </row>
    <row r="53" spans="3:8" x14ac:dyDescent="0.3">
      <c r="C53" s="1" t="e">
        <f t="shared" si="0"/>
        <v>#VALUE!</v>
      </c>
      <c r="D53" s="1" t="e">
        <f t="shared" si="1"/>
        <v>#VALUE!</v>
      </c>
      <c r="E53" s="1" t="e">
        <f t="shared" si="2"/>
        <v>#VALUE!</v>
      </c>
      <c r="F53" s="148"/>
      <c r="G53" s="1">
        <f t="shared" si="3"/>
        <v>0</v>
      </c>
      <c r="H53" s="1">
        <f t="shared" si="4"/>
        <v>0</v>
      </c>
    </row>
    <row r="54" spans="3:8" x14ac:dyDescent="0.3">
      <c r="C54" s="1" t="e">
        <f t="shared" si="0"/>
        <v>#VALUE!</v>
      </c>
      <c r="D54" s="1" t="e">
        <f t="shared" si="1"/>
        <v>#VALUE!</v>
      </c>
      <c r="E54" s="1" t="e">
        <f t="shared" si="2"/>
        <v>#VALUE!</v>
      </c>
      <c r="F54" s="146"/>
      <c r="G54" s="1">
        <f t="shared" si="3"/>
        <v>0</v>
      </c>
      <c r="H54" s="1">
        <f t="shared" si="4"/>
        <v>0</v>
      </c>
    </row>
    <row r="55" spans="3:8" x14ac:dyDescent="0.3">
      <c r="C55" s="1" t="e">
        <f t="shared" si="0"/>
        <v>#VALUE!</v>
      </c>
      <c r="D55" s="1" t="e">
        <f t="shared" si="1"/>
        <v>#VALUE!</v>
      </c>
      <c r="E55" s="1" t="e">
        <f t="shared" si="2"/>
        <v>#VALUE!</v>
      </c>
      <c r="F55" s="146"/>
      <c r="G55" s="1">
        <f t="shared" si="3"/>
        <v>0</v>
      </c>
      <c r="H55" s="1">
        <f t="shared" si="4"/>
        <v>0</v>
      </c>
    </row>
    <row r="56" spans="3:8" x14ac:dyDescent="0.3">
      <c r="C56" s="1" t="e">
        <f t="shared" si="0"/>
        <v>#VALUE!</v>
      </c>
      <c r="D56" s="1" t="e">
        <f t="shared" si="1"/>
        <v>#VALUE!</v>
      </c>
      <c r="E56" s="1" t="e">
        <f t="shared" si="2"/>
        <v>#VALUE!</v>
      </c>
      <c r="F56" s="146"/>
      <c r="G56" s="1">
        <f t="shared" si="3"/>
        <v>0</v>
      </c>
      <c r="H56" s="1">
        <f t="shared" si="4"/>
        <v>0</v>
      </c>
    </row>
    <row r="57" spans="3:8" x14ac:dyDescent="0.3">
      <c r="C57" s="1" t="e">
        <f t="shared" si="0"/>
        <v>#VALUE!</v>
      </c>
      <c r="D57" s="1" t="e">
        <f t="shared" si="1"/>
        <v>#VALUE!</v>
      </c>
      <c r="E57" s="1" t="e">
        <f t="shared" si="2"/>
        <v>#VALUE!</v>
      </c>
      <c r="F57" s="146"/>
      <c r="G57" s="1">
        <f t="shared" si="3"/>
        <v>0</v>
      </c>
      <c r="H57" s="1">
        <f t="shared" si="4"/>
        <v>0</v>
      </c>
    </row>
    <row r="58" spans="3:8" x14ac:dyDescent="0.3">
      <c r="C58" s="1" t="e">
        <f t="shared" si="0"/>
        <v>#VALUE!</v>
      </c>
      <c r="D58" s="1" t="e">
        <f t="shared" si="1"/>
        <v>#VALUE!</v>
      </c>
      <c r="E58" s="1" t="e">
        <f t="shared" si="2"/>
        <v>#VALUE!</v>
      </c>
      <c r="F58" s="147"/>
      <c r="G58" s="1">
        <f t="shared" si="3"/>
        <v>0</v>
      </c>
      <c r="H58" s="1">
        <f t="shared" si="4"/>
        <v>0</v>
      </c>
    </row>
    <row r="59" spans="3:8" x14ac:dyDescent="0.3">
      <c r="C59" s="1" t="e">
        <f t="shared" si="0"/>
        <v>#VALUE!</v>
      </c>
      <c r="D59" s="1" t="e">
        <f t="shared" si="1"/>
        <v>#VALUE!</v>
      </c>
      <c r="E59" s="1" t="e">
        <f t="shared" si="2"/>
        <v>#VALUE!</v>
      </c>
      <c r="F59" s="147"/>
      <c r="G59" s="1">
        <f t="shared" si="3"/>
        <v>0</v>
      </c>
      <c r="H59" s="1">
        <f t="shared" si="4"/>
        <v>0</v>
      </c>
    </row>
    <row r="60" spans="3:8" x14ac:dyDescent="0.3">
      <c r="C60" s="1" t="e">
        <f t="shared" si="0"/>
        <v>#VALUE!</v>
      </c>
      <c r="D60" s="1" t="e">
        <f t="shared" si="1"/>
        <v>#VALUE!</v>
      </c>
      <c r="E60" s="1" t="e">
        <f t="shared" si="2"/>
        <v>#VALUE!</v>
      </c>
      <c r="F60" s="147"/>
      <c r="G60" s="1">
        <f t="shared" si="3"/>
        <v>0</v>
      </c>
      <c r="H60" s="1">
        <f t="shared" si="4"/>
        <v>0</v>
      </c>
    </row>
    <row r="61" spans="3:8" x14ac:dyDescent="0.3">
      <c r="C61" s="1" t="e">
        <f t="shared" si="0"/>
        <v>#VALUE!</v>
      </c>
      <c r="D61" s="1" t="e">
        <f t="shared" si="1"/>
        <v>#VALUE!</v>
      </c>
      <c r="E61" s="1" t="e">
        <f t="shared" si="2"/>
        <v>#VALUE!</v>
      </c>
      <c r="F61" s="146"/>
      <c r="G61" s="1">
        <f t="shared" si="3"/>
        <v>0</v>
      </c>
      <c r="H61" s="1">
        <f t="shared" si="4"/>
        <v>0</v>
      </c>
    </row>
    <row r="62" spans="3:8" x14ac:dyDescent="0.3">
      <c r="C62" s="1" t="e">
        <f t="shared" si="0"/>
        <v>#VALUE!</v>
      </c>
      <c r="D62" s="1" t="e">
        <f t="shared" si="1"/>
        <v>#VALUE!</v>
      </c>
      <c r="E62" s="1" t="e">
        <f t="shared" si="2"/>
        <v>#VALUE!</v>
      </c>
      <c r="F62" s="146"/>
      <c r="G62" s="1">
        <f t="shared" si="3"/>
        <v>0</v>
      </c>
      <c r="H62" s="1">
        <f t="shared" si="4"/>
        <v>0</v>
      </c>
    </row>
    <row r="63" spans="3:8" x14ac:dyDescent="0.3">
      <c r="C63" s="1" t="e">
        <f t="shared" si="0"/>
        <v>#VALUE!</v>
      </c>
      <c r="D63" s="1" t="e">
        <f t="shared" si="1"/>
        <v>#VALUE!</v>
      </c>
      <c r="E63" s="1" t="e">
        <f t="shared" si="2"/>
        <v>#VALUE!</v>
      </c>
      <c r="F63" s="146"/>
      <c r="G63" s="1">
        <f t="shared" si="3"/>
        <v>0</v>
      </c>
      <c r="H63" s="1">
        <f t="shared" si="4"/>
        <v>0</v>
      </c>
    </row>
    <row r="64" spans="3:8" x14ac:dyDescent="0.3">
      <c r="C64" s="1" t="e">
        <f t="shared" si="0"/>
        <v>#VALUE!</v>
      </c>
      <c r="D64" s="1" t="e">
        <f t="shared" si="1"/>
        <v>#VALUE!</v>
      </c>
      <c r="E64" s="1" t="e">
        <f t="shared" si="2"/>
        <v>#VALUE!</v>
      </c>
      <c r="F64" s="146"/>
      <c r="G64" s="1">
        <f t="shared" si="3"/>
        <v>0</v>
      </c>
      <c r="H64" s="1">
        <f t="shared" si="4"/>
        <v>0</v>
      </c>
    </row>
    <row r="65" spans="3:8" x14ac:dyDescent="0.3">
      <c r="C65" s="1" t="e">
        <f t="shared" si="0"/>
        <v>#VALUE!</v>
      </c>
      <c r="D65" s="1" t="e">
        <f t="shared" si="1"/>
        <v>#VALUE!</v>
      </c>
      <c r="E65" s="1" t="e">
        <f t="shared" si="2"/>
        <v>#VALUE!</v>
      </c>
      <c r="F65" s="146"/>
      <c r="G65" s="1">
        <f t="shared" si="3"/>
        <v>0</v>
      </c>
      <c r="H65" s="1">
        <f t="shared" si="4"/>
        <v>0</v>
      </c>
    </row>
    <row r="66" spans="3:8" x14ac:dyDescent="0.3">
      <c r="C66" s="1" t="e">
        <f t="shared" si="0"/>
        <v>#VALUE!</v>
      </c>
      <c r="D66" s="1" t="e">
        <f t="shared" si="1"/>
        <v>#VALUE!</v>
      </c>
      <c r="E66" s="1" t="e">
        <f t="shared" si="2"/>
        <v>#VALUE!</v>
      </c>
      <c r="F66" s="146"/>
      <c r="G66" s="1">
        <f t="shared" si="3"/>
        <v>0</v>
      </c>
      <c r="H66" s="1">
        <f t="shared" si="4"/>
        <v>0</v>
      </c>
    </row>
    <row r="67" spans="3:8" x14ac:dyDescent="0.3">
      <c r="C67" s="1" t="e">
        <f t="shared" si="0"/>
        <v>#VALUE!</v>
      </c>
      <c r="D67" s="1" t="e">
        <f t="shared" si="1"/>
        <v>#VALUE!</v>
      </c>
      <c r="E67" s="1" t="e">
        <f t="shared" si="2"/>
        <v>#VALUE!</v>
      </c>
      <c r="F67" s="146"/>
      <c r="G67" s="1">
        <f t="shared" si="3"/>
        <v>0</v>
      </c>
      <c r="H67" s="1">
        <f t="shared" si="4"/>
        <v>0</v>
      </c>
    </row>
    <row r="68" spans="3:8" x14ac:dyDescent="0.3">
      <c r="C68" s="1" t="e">
        <f t="shared" ref="C68:C84" si="5">FIND("w_",B68)</f>
        <v>#VALUE!</v>
      </c>
      <c r="D68" s="1" t="e">
        <f t="shared" ref="D68:D84" si="6">FIND(";",B68)</f>
        <v>#VALUE!</v>
      </c>
      <c r="E68" s="1" t="e">
        <f t="shared" ref="E68:E84" si="7">MID(B68,C68,D68-C68)</f>
        <v>#VALUE!</v>
      </c>
      <c r="F68" s="148"/>
      <c r="G68" s="1">
        <f t="shared" ref="G68:G84" si="8">COUNTIF($E$3:$E$100,F68)</f>
        <v>0</v>
      </c>
      <c r="H68" s="1">
        <f t="shared" ref="H68:H84" si="9">COUNTIF($F$3:$F$100,E68)</f>
        <v>0</v>
      </c>
    </row>
    <row r="69" spans="3:8" x14ac:dyDescent="0.3">
      <c r="C69" s="1" t="e">
        <f t="shared" si="5"/>
        <v>#VALUE!</v>
      </c>
      <c r="D69" s="1" t="e">
        <f t="shared" si="6"/>
        <v>#VALUE!</v>
      </c>
      <c r="E69" s="1" t="e">
        <f t="shared" si="7"/>
        <v>#VALUE!</v>
      </c>
      <c r="F69" s="146"/>
      <c r="G69" s="1">
        <f t="shared" si="8"/>
        <v>0</v>
      </c>
      <c r="H69" s="1">
        <f t="shared" si="9"/>
        <v>0</v>
      </c>
    </row>
    <row r="70" spans="3:8" x14ac:dyDescent="0.3">
      <c r="C70" s="1" t="e">
        <f t="shared" si="5"/>
        <v>#VALUE!</v>
      </c>
      <c r="D70" s="1" t="e">
        <f t="shared" si="6"/>
        <v>#VALUE!</v>
      </c>
      <c r="E70" s="1" t="e">
        <f t="shared" si="7"/>
        <v>#VALUE!</v>
      </c>
      <c r="F70" s="146"/>
      <c r="G70" s="1">
        <f t="shared" si="8"/>
        <v>0</v>
      </c>
      <c r="H70" s="1">
        <f t="shared" si="9"/>
        <v>0</v>
      </c>
    </row>
    <row r="71" spans="3:8" x14ac:dyDescent="0.3">
      <c r="C71" s="1" t="e">
        <f t="shared" si="5"/>
        <v>#VALUE!</v>
      </c>
      <c r="D71" s="1" t="e">
        <f t="shared" si="6"/>
        <v>#VALUE!</v>
      </c>
      <c r="E71" s="1" t="e">
        <f t="shared" si="7"/>
        <v>#VALUE!</v>
      </c>
      <c r="F71" s="146"/>
      <c r="G71" s="1">
        <f t="shared" si="8"/>
        <v>0</v>
      </c>
      <c r="H71" s="1">
        <f t="shared" si="9"/>
        <v>0</v>
      </c>
    </row>
    <row r="72" spans="3:8" x14ac:dyDescent="0.3">
      <c r="C72" s="1" t="e">
        <f t="shared" si="5"/>
        <v>#VALUE!</v>
      </c>
      <c r="D72" s="1" t="e">
        <f t="shared" si="6"/>
        <v>#VALUE!</v>
      </c>
      <c r="E72" s="1" t="e">
        <f t="shared" si="7"/>
        <v>#VALUE!</v>
      </c>
      <c r="F72" s="146"/>
      <c r="G72" s="1">
        <f t="shared" si="8"/>
        <v>0</v>
      </c>
      <c r="H72" s="1">
        <f t="shared" si="9"/>
        <v>0</v>
      </c>
    </row>
    <row r="73" spans="3:8" x14ac:dyDescent="0.3">
      <c r="C73" s="1" t="e">
        <f t="shared" si="5"/>
        <v>#VALUE!</v>
      </c>
      <c r="D73" s="1" t="e">
        <f t="shared" si="6"/>
        <v>#VALUE!</v>
      </c>
      <c r="E73" s="1" t="e">
        <f t="shared" si="7"/>
        <v>#VALUE!</v>
      </c>
      <c r="F73" s="146"/>
      <c r="G73" s="1">
        <f t="shared" si="8"/>
        <v>0</v>
      </c>
      <c r="H73" s="1">
        <f t="shared" si="9"/>
        <v>0</v>
      </c>
    </row>
    <row r="74" spans="3:8" x14ac:dyDescent="0.3">
      <c r="C74" s="1" t="e">
        <f t="shared" si="5"/>
        <v>#VALUE!</v>
      </c>
      <c r="D74" s="1" t="e">
        <f t="shared" si="6"/>
        <v>#VALUE!</v>
      </c>
      <c r="E74" s="1" t="e">
        <f t="shared" si="7"/>
        <v>#VALUE!</v>
      </c>
      <c r="F74" s="146"/>
      <c r="G74" s="1">
        <f t="shared" si="8"/>
        <v>0</v>
      </c>
      <c r="H74" s="1">
        <f t="shared" si="9"/>
        <v>0</v>
      </c>
    </row>
    <row r="75" spans="3:8" x14ac:dyDescent="0.3">
      <c r="C75" s="1" t="e">
        <f t="shared" si="5"/>
        <v>#VALUE!</v>
      </c>
      <c r="D75" s="1" t="e">
        <f t="shared" si="6"/>
        <v>#VALUE!</v>
      </c>
      <c r="E75" s="1" t="e">
        <f t="shared" si="7"/>
        <v>#VALUE!</v>
      </c>
      <c r="F75" s="146"/>
      <c r="G75" s="1">
        <f t="shared" si="8"/>
        <v>0</v>
      </c>
      <c r="H75" s="1">
        <f t="shared" si="9"/>
        <v>0</v>
      </c>
    </row>
    <row r="76" spans="3:8" x14ac:dyDescent="0.3">
      <c r="C76" s="1" t="e">
        <f t="shared" si="5"/>
        <v>#VALUE!</v>
      </c>
      <c r="D76" s="1" t="e">
        <f t="shared" si="6"/>
        <v>#VALUE!</v>
      </c>
      <c r="E76" s="1" t="e">
        <f t="shared" si="7"/>
        <v>#VALUE!</v>
      </c>
      <c r="F76" s="146"/>
      <c r="G76" s="1">
        <f t="shared" si="8"/>
        <v>0</v>
      </c>
      <c r="H76" s="1">
        <f t="shared" si="9"/>
        <v>0</v>
      </c>
    </row>
    <row r="77" spans="3:8" x14ac:dyDescent="0.3">
      <c r="C77" s="1" t="e">
        <f t="shared" si="5"/>
        <v>#VALUE!</v>
      </c>
      <c r="D77" s="1" t="e">
        <f t="shared" si="6"/>
        <v>#VALUE!</v>
      </c>
      <c r="E77" s="1" t="e">
        <f t="shared" si="7"/>
        <v>#VALUE!</v>
      </c>
      <c r="F77" s="146"/>
      <c r="G77" s="1">
        <f t="shared" si="8"/>
        <v>0</v>
      </c>
      <c r="H77" s="1">
        <f t="shared" si="9"/>
        <v>0</v>
      </c>
    </row>
    <row r="78" spans="3:8" x14ac:dyDescent="0.3">
      <c r="C78" s="1" t="e">
        <f t="shared" si="5"/>
        <v>#VALUE!</v>
      </c>
      <c r="D78" s="1" t="e">
        <f t="shared" si="6"/>
        <v>#VALUE!</v>
      </c>
      <c r="E78" s="1" t="e">
        <f t="shared" si="7"/>
        <v>#VALUE!</v>
      </c>
      <c r="G78" s="1">
        <f t="shared" si="8"/>
        <v>0</v>
      </c>
      <c r="H78" s="1">
        <f t="shared" si="9"/>
        <v>0</v>
      </c>
    </row>
    <row r="79" spans="3:8" x14ac:dyDescent="0.3">
      <c r="C79" s="1" t="e">
        <f t="shared" si="5"/>
        <v>#VALUE!</v>
      </c>
      <c r="D79" s="1" t="e">
        <f t="shared" si="6"/>
        <v>#VALUE!</v>
      </c>
      <c r="E79" s="1" t="e">
        <f t="shared" si="7"/>
        <v>#VALUE!</v>
      </c>
      <c r="G79" s="1">
        <f t="shared" si="8"/>
        <v>0</v>
      </c>
      <c r="H79" s="1">
        <f t="shared" si="9"/>
        <v>0</v>
      </c>
    </row>
    <row r="80" spans="3:8" x14ac:dyDescent="0.3">
      <c r="C80" s="1" t="e">
        <f t="shared" si="5"/>
        <v>#VALUE!</v>
      </c>
      <c r="D80" s="1" t="e">
        <f t="shared" si="6"/>
        <v>#VALUE!</v>
      </c>
      <c r="E80" s="1" t="e">
        <f t="shared" si="7"/>
        <v>#VALUE!</v>
      </c>
      <c r="G80" s="1">
        <f t="shared" si="8"/>
        <v>0</v>
      </c>
      <c r="H80" s="1">
        <f t="shared" si="9"/>
        <v>0</v>
      </c>
    </row>
    <row r="81" spans="3:8" x14ac:dyDescent="0.3">
      <c r="C81" s="1" t="e">
        <f t="shared" si="5"/>
        <v>#VALUE!</v>
      </c>
      <c r="D81" s="1" t="e">
        <f t="shared" si="6"/>
        <v>#VALUE!</v>
      </c>
      <c r="E81" s="1" t="e">
        <f t="shared" si="7"/>
        <v>#VALUE!</v>
      </c>
      <c r="G81" s="1">
        <f t="shared" si="8"/>
        <v>0</v>
      </c>
      <c r="H81" s="1">
        <f t="shared" si="9"/>
        <v>0</v>
      </c>
    </row>
    <row r="82" spans="3:8" x14ac:dyDescent="0.3">
      <c r="C82" s="1" t="e">
        <f t="shared" si="5"/>
        <v>#VALUE!</v>
      </c>
      <c r="D82" s="1" t="e">
        <f t="shared" si="6"/>
        <v>#VALUE!</v>
      </c>
      <c r="E82" s="1" t="e">
        <f t="shared" si="7"/>
        <v>#VALUE!</v>
      </c>
      <c r="G82" s="1">
        <f t="shared" si="8"/>
        <v>0</v>
      </c>
      <c r="H82" s="1">
        <f t="shared" si="9"/>
        <v>0</v>
      </c>
    </row>
    <row r="83" spans="3:8" x14ac:dyDescent="0.3">
      <c r="C83" s="1" t="e">
        <f t="shared" si="5"/>
        <v>#VALUE!</v>
      </c>
      <c r="D83" s="1" t="e">
        <f t="shared" si="6"/>
        <v>#VALUE!</v>
      </c>
      <c r="E83" s="1" t="e">
        <f t="shared" si="7"/>
        <v>#VALUE!</v>
      </c>
      <c r="G83" s="1">
        <f t="shared" si="8"/>
        <v>0</v>
      </c>
      <c r="H83" s="1">
        <f t="shared" si="9"/>
        <v>0</v>
      </c>
    </row>
    <row r="84" spans="3:8" x14ac:dyDescent="0.3">
      <c r="C84" s="1" t="e">
        <f t="shared" si="5"/>
        <v>#VALUE!</v>
      </c>
      <c r="D84" s="1" t="e">
        <f t="shared" si="6"/>
        <v>#VALUE!</v>
      </c>
      <c r="E84" s="1" t="e">
        <f t="shared" si="7"/>
        <v>#VALUE!</v>
      </c>
      <c r="G84" s="1">
        <f t="shared" si="8"/>
        <v>0</v>
      </c>
      <c r="H84" s="1">
        <f t="shared" si="9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CPU</vt:lpstr>
      <vt:lpstr>정리용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강종현</dc:creator>
  <cp:lastModifiedBy>강종현</cp:lastModifiedBy>
  <dcterms:created xsi:type="dcterms:W3CDTF">2026-02-25T13:36:19Z</dcterms:created>
  <dcterms:modified xsi:type="dcterms:W3CDTF">2026-05-05T09:00:48Z</dcterms:modified>
</cp:coreProperties>
</file>